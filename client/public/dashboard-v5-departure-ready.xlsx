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home/Documents/TUJ/"/>
    </mc:Choice>
  </mc:AlternateContent>
  <xr:revisionPtr revIDLastSave="0" documentId="8_{7F268080-EC5E-CC4E-9D1E-0A6857091287}" xr6:coauthVersionLast="47" xr6:coauthVersionMax="47" xr10:uidLastSave="{00000000-0000-0000-0000-000000000000}"/>
  <bookViews>
    <workbookView xWindow="0" yWindow="760" windowWidth="30240" windowHeight="18160" xr2:uid="{3A949835-928B-43F0-8F59-3C1F84CFAB50}"/>
  </bookViews>
  <sheets>
    <sheet name="Template Version 5" sheetId="5" r:id="rId1"/>
    <sheet name="Template Version 1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0" i="5" l="1"/>
  <c r="O50" i="5"/>
  <c r="N50" i="5"/>
  <c r="N34" i="5"/>
  <c r="O34" i="5"/>
  <c r="N35" i="5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G23" i="5"/>
  <c r="G21" i="5"/>
  <c r="G14" i="5"/>
  <c r="G13" i="5"/>
  <c r="I2" i="5"/>
  <c r="Q5" i="5"/>
  <c r="G2" i="5"/>
  <c r="J21" i="5"/>
  <c r="L14" i="5"/>
  <c r="F23" i="5"/>
  <c r="F21" i="5"/>
  <c r="L13" i="5"/>
  <c r="P34" i="5" l="1"/>
  <c r="O35" i="5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E13" i="5"/>
  <c r="D30" i="5"/>
  <c r="E29" i="5"/>
  <c r="C29" i="5"/>
  <c r="E28" i="5"/>
  <c r="C28" i="5"/>
  <c r="E27" i="5"/>
  <c r="C27" i="5"/>
  <c r="E26" i="5"/>
  <c r="C26" i="5"/>
  <c r="H25" i="5"/>
  <c r="E25" i="5"/>
  <c r="C25" i="5"/>
  <c r="E23" i="5"/>
  <c r="L22" i="5"/>
  <c r="J22" i="5"/>
  <c r="L21" i="5"/>
  <c r="K21" i="5" s="1"/>
  <c r="L19" i="5"/>
  <c r="F19" i="5"/>
  <c r="D18" i="5"/>
  <c r="C18" i="5"/>
  <c r="I15" i="5"/>
  <c r="E15" i="5"/>
  <c r="C15" i="5"/>
  <c r="B15" i="5"/>
  <c r="B12" i="5" s="1"/>
  <c r="J14" i="5"/>
  <c r="F14" i="5"/>
  <c r="E14" i="5"/>
  <c r="D14" i="5"/>
  <c r="J13" i="5"/>
  <c r="F13" i="5"/>
  <c r="D13" i="5"/>
  <c r="E11" i="5"/>
  <c r="C5" i="5" s="1"/>
  <c r="C11" i="5"/>
  <c r="E9" i="5"/>
  <c r="C9" i="5" s="1"/>
  <c r="I3" i="5" s="1"/>
  <c r="E8" i="5"/>
  <c r="D8" i="5"/>
  <c r="C8" i="5"/>
  <c r="E7" i="5"/>
  <c r="D7" i="5"/>
  <c r="C7" i="5"/>
  <c r="E6" i="5"/>
  <c r="D6" i="5"/>
  <c r="C6" i="5"/>
  <c r="C4" i="5"/>
  <c r="F3" i="5"/>
  <c r="F4" i="5" s="1"/>
  <c r="H26" i="5"/>
  <c r="H27" i="5" s="1"/>
  <c r="L50" i="5"/>
  <c r="K50" i="5"/>
  <c r="J50" i="5"/>
  <c r="I50" i="5"/>
  <c r="H50" i="5"/>
  <c r="G50" i="5"/>
  <c r="F50" i="5"/>
  <c r="E50" i="5"/>
  <c r="D50" i="5"/>
  <c r="C50" i="5"/>
  <c r="M48" i="5"/>
  <c r="B48" i="5"/>
  <c r="M47" i="5"/>
  <c r="B47" i="5"/>
  <c r="M46" i="5"/>
  <c r="B46" i="5"/>
  <c r="M45" i="5"/>
  <c r="B45" i="5"/>
  <c r="M44" i="5"/>
  <c r="B44" i="5"/>
  <c r="M43" i="5"/>
  <c r="B43" i="5"/>
  <c r="M42" i="5"/>
  <c r="B42" i="5"/>
  <c r="M41" i="5"/>
  <c r="B41" i="5"/>
  <c r="M40" i="5"/>
  <c r="B40" i="5"/>
  <c r="M39" i="5"/>
  <c r="B39" i="5"/>
  <c r="M38" i="5"/>
  <c r="B38" i="5"/>
  <c r="M37" i="5"/>
  <c r="B37" i="5"/>
  <c r="M36" i="5"/>
  <c r="B36" i="5"/>
  <c r="M35" i="5"/>
  <c r="B35" i="5"/>
  <c r="Q50" i="5"/>
  <c r="Q4" i="1"/>
  <c r="D7" i="1"/>
  <c r="D8" i="1"/>
  <c r="L50" i="1"/>
  <c r="K50" i="1"/>
  <c r="J50" i="1"/>
  <c r="I50" i="1"/>
  <c r="H50" i="1"/>
  <c r="G50" i="1"/>
  <c r="F50" i="1"/>
  <c r="E50" i="1"/>
  <c r="D50" i="1"/>
  <c r="C50" i="1"/>
  <c r="M48" i="1"/>
  <c r="B48" i="1"/>
  <c r="M47" i="1"/>
  <c r="B47" i="1"/>
  <c r="M46" i="1"/>
  <c r="B46" i="1"/>
  <c r="M45" i="1"/>
  <c r="B45" i="1"/>
  <c r="M44" i="1"/>
  <c r="B44" i="1"/>
  <c r="M43" i="1"/>
  <c r="B43" i="1"/>
  <c r="M42" i="1"/>
  <c r="B42" i="1"/>
  <c r="M41" i="1"/>
  <c r="B41" i="1"/>
  <c r="M40" i="1"/>
  <c r="B40" i="1"/>
  <c r="M39" i="1"/>
  <c r="B39" i="1"/>
  <c r="M38" i="1"/>
  <c r="B38" i="1"/>
  <c r="M37" i="1"/>
  <c r="B37" i="1"/>
  <c r="M36" i="1"/>
  <c r="B36" i="1"/>
  <c r="M35" i="1"/>
  <c r="M50" i="1" s="1"/>
  <c r="B35" i="1"/>
  <c r="D30" i="1"/>
  <c r="C29" i="1"/>
  <c r="E28" i="1"/>
  <c r="C28" i="1"/>
  <c r="E27" i="1"/>
  <c r="C27" i="1"/>
  <c r="E26" i="1"/>
  <c r="C26" i="1"/>
  <c r="H25" i="1"/>
  <c r="E25" i="1"/>
  <c r="C25" i="1"/>
  <c r="E23" i="1"/>
  <c r="L22" i="1"/>
  <c r="K22" i="1"/>
  <c r="L21" i="1"/>
  <c r="K21" i="1" s="1"/>
  <c r="F19" i="1"/>
  <c r="G19" i="1" s="1"/>
  <c r="Q50" i="1" s="1"/>
  <c r="D18" i="1"/>
  <c r="C18" i="1"/>
  <c r="I15" i="1"/>
  <c r="J20" i="1" s="1"/>
  <c r="B15" i="1"/>
  <c r="B12" i="1" s="1"/>
  <c r="M7" i="1" s="1"/>
  <c r="L14" i="1"/>
  <c r="J14" i="1"/>
  <c r="F14" i="1"/>
  <c r="E14" i="1"/>
  <c r="D14" i="1"/>
  <c r="L13" i="1"/>
  <c r="L15" i="1" s="1"/>
  <c r="L20" i="1" s="1"/>
  <c r="J13" i="1"/>
  <c r="H13" i="1"/>
  <c r="G13" i="1" s="1"/>
  <c r="E13" i="1"/>
  <c r="E15" i="1" s="1"/>
  <c r="D13" i="1"/>
  <c r="C15" i="1"/>
  <c r="E11" i="1"/>
  <c r="E9" i="1"/>
  <c r="C9" i="1"/>
  <c r="I3" i="1" s="1"/>
  <c r="E8" i="1"/>
  <c r="C8" i="1"/>
  <c r="E7" i="1"/>
  <c r="C7" i="1"/>
  <c r="E6" i="1"/>
  <c r="C6" i="1" s="1"/>
  <c r="C5" i="1"/>
  <c r="F3" i="1"/>
  <c r="F4" i="1" s="1"/>
  <c r="P35" i="5" l="1"/>
  <c r="P36" i="5" s="1"/>
  <c r="P37" i="5" s="1"/>
  <c r="P38" i="5" s="1"/>
  <c r="P39" i="5" s="1"/>
  <c r="P40" i="5" s="1"/>
  <c r="P41" i="5" s="1"/>
  <c r="P42" i="5" s="1"/>
  <c r="P43" i="5" s="1"/>
  <c r="P44" i="5" s="1"/>
  <c r="P45" i="5" s="1"/>
  <c r="P46" i="5" s="1"/>
  <c r="P47" i="5" s="1"/>
  <c r="P48" i="5" s="1"/>
  <c r="Q34" i="5"/>
  <c r="Q35" i="5" s="1"/>
  <c r="Q36" i="5" s="1"/>
  <c r="Q37" i="5" s="1"/>
  <c r="Q38" i="5" s="1"/>
  <c r="Q39" i="5" s="1"/>
  <c r="Q40" i="5" s="1"/>
  <c r="Q41" i="5" s="1"/>
  <c r="Q42" i="5" s="1"/>
  <c r="Q43" i="5" s="1"/>
  <c r="Q44" i="5" s="1"/>
  <c r="Q45" i="5" s="1"/>
  <c r="Q46" i="5" s="1"/>
  <c r="Q47" i="5" s="1"/>
  <c r="Q48" i="5" s="1"/>
  <c r="M50" i="5"/>
  <c r="L15" i="5"/>
  <c r="L20" i="5" s="1"/>
  <c r="D15" i="5"/>
  <c r="K22" i="5"/>
  <c r="F15" i="5"/>
  <c r="L23" i="5"/>
  <c r="J15" i="5"/>
  <c r="J20" i="5" s="1"/>
  <c r="J23" i="5"/>
  <c r="I4" i="5"/>
  <c r="J4" i="5" s="1"/>
  <c r="G3" i="5"/>
  <c r="G4" i="5" s="1"/>
  <c r="M14" i="5"/>
  <c r="M6" i="5"/>
  <c r="M12" i="5"/>
  <c r="M30" i="5"/>
  <c r="M22" i="5"/>
  <c r="M18" i="5"/>
  <c r="M10" i="5"/>
  <c r="M24" i="5"/>
  <c r="M29" i="5"/>
  <c r="M26" i="5"/>
  <c r="M5" i="5"/>
  <c r="M4" i="5" s="1"/>
  <c r="M25" i="5"/>
  <c r="M27" i="5"/>
  <c r="M21" i="5"/>
  <c r="M17" i="5"/>
  <c r="M9" i="5"/>
  <c r="M23" i="5"/>
  <c r="M7" i="5"/>
  <c r="M16" i="5"/>
  <c r="M13" i="5"/>
  <c r="M28" i="5"/>
  <c r="M15" i="5"/>
  <c r="M8" i="5"/>
  <c r="M20" i="5"/>
  <c r="M19" i="5"/>
  <c r="M11" i="5"/>
  <c r="H29" i="5"/>
  <c r="H28" i="5"/>
  <c r="J15" i="1"/>
  <c r="D15" i="1"/>
  <c r="F21" i="1"/>
  <c r="F23" i="1" s="1"/>
  <c r="G21" i="1" s="1"/>
  <c r="E29" i="1"/>
  <c r="L23" i="1"/>
  <c r="F13" i="1"/>
  <c r="F15" i="1" s="1"/>
  <c r="M16" i="1"/>
  <c r="M18" i="1"/>
  <c r="M13" i="1"/>
  <c r="M21" i="1"/>
  <c r="M29" i="1"/>
  <c r="M8" i="1"/>
  <c r="M22" i="1"/>
  <c r="M30" i="1"/>
  <c r="M25" i="1"/>
  <c r="M17" i="1"/>
  <c r="M27" i="1"/>
  <c r="M6" i="1"/>
  <c r="M28" i="1"/>
  <c r="M5" i="1"/>
  <c r="M4" i="1" s="1"/>
  <c r="M20" i="1"/>
  <c r="M23" i="1"/>
  <c r="M9" i="1"/>
  <c r="M24" i="1"/>
  <c r="M10" i="1"/>
  <c r="M11" i="1"/>
  <c r="M15" i="1"/>
  <c r="K20" i="1"/>
  <c r="J23" i="1"/>
  <c r="M14" i="1"/>
  <c r="M26" i="1"/>
  <c r="M12" i="1"/>
  <c r="M19" i="1"/>
  <c r="K20" i="5" l="1"/>
  <c r="K23" i="5"/>
  <c r="C3" i="5"/>
  <c r="P30" i="5"/>
  <c r="P22" i="5"/>
  <c r="P18" i="5"/>
  <c r="P10" i="5"/>
  <c r="P27" i="5"/>
  <c r="P6" i="5"/>
  <c r="P29" i="5"/>
  <c r="P21" i="5"/>
  <c r="P17" i="5"/>
  <c r="P9" i="5"/>
  <c r="P16" i="5"/>
  <c r="P13" i="5"/>
  <c r="P26" i="5"/>
  <c r="P25" i="5"/>
  <c r="P24" i="5"/>
  <c r="P20" i="5"/>
  <c r="P23" i="5"/>
  <c r="P19" i="5"/>
  <c r="P11" i="5"/>
  <c r="P7" i="5"/>
  <c r="P28" i="5"/>
  <c r="P15" i="5"/>
  <c r="P8" i="5"/>
  <c r="K4" i="5"/>
  <c r="P12" i="5"/>
  <c r="P14" i="5"/>
  <c r="G23" i="1"/>
  <c r="H14" i="1"/>
  <c r="G14" i="1" s="1"/>
  <c r="G3" i="1"/>
  <c r="K23" i="1"/>
  <c r="C3" i="1"/>
  <c r="J26" i="5" l="1"/>
  <c r="C10" i="5"/>
  <c r="I26" i="5"/>
  <c r="L26" i="5" s="1"/>
  <c r="C10" i="1"/>
  <c r="G2" i="1"/>
  <c r="J26" i="1"/>
  <c r="I26" i="1"/>
  <c r="N34" i="1" l="1"/>
  <c r="L26" i="1"/>
  <c r="G4" i="1"/>
  <c r="H26" i="1"/>
  <c r="H27" i="1" s="1"/>
  <c r="N50" i="1" s="1"/>
  <c r="P50" i="1" s="1"/>
  <c r="I2" i="1"/>
  <c r="I4" i="1" s="1"/>
  <c r="J4" i="1" s="1"/>
  <c r="N35" i="1" l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O34" i="1"/>
  <c r="O50" i="1"/>
  <c r="P8" i="1"/>
  <c r="P9" i="1"/>
  <c r="P29" i="1"/>
  <c r="P10" i="1"/>
  <c r="P5" i="1"/>
  <c r="P16" i="1"/>
  <c r="K4" i="1"/>
  <c r="P24" i="1"/>
  <c r="P23" i="1"/>
  <c r="P21" i="1"/>
  <c r="P25" i="1"/>
  <c r="P13" i="1"/>
  <c r="P15" i="1"/>
  <c r="P7" i="1"/>
  <c r="P20" i="1"/>
  <c r="P19" i="1"/>
  <c r="P12" i="1"/>
  <c r="P26" i="1"/>
  <c r="P14" i="1"/>
  <c r="P30" i="1"/>
  <c r="P18" i="1"/>
  <c r="P11" i="1"/>
  <c r="P6" i="1"/>
  <c r="P22" i="1"/>
  <c r="P17" i="1"/>
  <c r="P28" i="1"/>
  <c r="P27" i="1"/>
  <c r="H29" i="1"/>
  <c r="H28" i="1"/>
  <c r="P34" i="1" l="1"/>
  <c r="O35" i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P35" i="1" l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Q34" i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</calcChain>
</file>

<file path=xl/sharedStrings.xml><?xml version="1.0" encoding="utf-8"?>
<sst xmlns="http://schemas.openxmlformats.org/spreadsheetml/2006/main" count="222" uniqueCount="109">
  <si>
    <t>Day</t>
  </si>
  <si>
    <t>Date</t>
  </si>
  <si>
    <t>Time</t>
  </si>
  <si>
    <t>Saved</t>
  </si>
  <si>
    <t>Fuel</t>
  </si>
  <si>
    <t>Bank</t>
  </si>
  <si>
    <t>Rewards</t>
  </si>
  <si>
    <t>Total CC</t>
  </si>
  <si>
    <t>Friday</t>
  </si>
  <si>
    <t>BANK</t>
  </si>
  <si>
    <t>CM Total 
After Full Attack</t>
  </si>
  <si>
    <t>Due By Date</t>
  </si>
  <si>
    <t>MHOA Savings</t>
  </si>
  <si>
    <t>Power</t>
  </si>
  <si>
    <t>Water</t>
  </si>
  <si>
    <t>CM Guage</t>
  </si>
  <si>
    <t>Next Goal</t>
  </si>
  <si>
    <t>Utilities (Power and Water)</t>
  </si>
  <si>
    <t>USE</t>
  </si>
  <si>
    <t>Vacation Savings</t>
  </si>
  <si>
    <t>Emergency Savings</t>
  </si>
  <si>
    <t>Boost Savings</t>
  </si>
  <si>
    <t>Pay Yourself Savings</t>
  </si>
  <si>
    <t>Unorganized Savings</t>
  </si>
  <si>
    <t>Next Statement Due Date</t>
  </si>
  <si>
    <t>Quick Note:</t>
  </si>
  <si>
    <t>There is a CM Approaching.</t>
  </si>
  <si>
    <t>Holding Tank</t>
  </si>
  <si>
    <t>CURRENT DEBT</t>
  </si>
  <si>
    <t>Minimum</t>
  </si>
  <si>
    <t>Left 2 Go</t>
  </si>
  <si>
    <t>Next Attack</t>
  </si>
  <si>
    <t>Remaining BEFORE Attack</t>
  </si>
  <si>
    <t>Countdown</t>
  </si>
  <si>
    <t>Final Due Date</t>
  </si>
  <si>
    <t>Payment</t>
  </si>
  <si>
    <t>Last Statement Balance</t>
  </si>
  <si>
    <t>Damage +/-</t>
  </si>
  <si>
    <t>Next Minimum</t>
  </si>
  <si>
    <t>CM1</t>
  </si>
  <si>
    <t>+</t>
  </si>
  <si>
    <t>CM2</t>
  </si>
  <si>
    <t>CM Total</t>
  </si>
  <si>
    <t>Total Damage</t>
  </si>
  <si>
    <t>.</t>
  </si>
  <si>
    <t>Beginning Stock</t>
  </si>
  <si>
    <t>Increase or Decrease</t>
  </si>
  <si>
    <t>Replenishment</t>
  </si>
  <si>
    <t>Estimated Pay Drop Date</t>
  </si>
  <si>
    <t>IN</t>
  </si>
  <si>
    <t xml:space="preserve">Predicted Pay Drop </t>
  </si>
  <si>
    <t>Days</t>
  </si>
  <si>
    <t>Monthly Minimum</t>
  </si>
  <si>
    <t>Status</t>
  </si>
  <si>
    <t>July</t>
  </si>
  <si>
    <t>Days Left</t>
  </si>
  <si>
    <t>Until</t>
  </si>
  <si>
    <t>CM Minimum</t>
  </si>
  <si>
    <t>Refuel</t>
  </si>
  <si>
    <t>Mortgage</t>
  </si>
  <si>
    <t>HOA</t>
  </si>
  <si>
    <t xml:space="preserve">Total Monthly Minimum </t>
  </si>
  <si>
    <t>TANK</t>
  </si>
  <si>
    <t>Remaining Fuel</t>
  </si>
  <si>
    <t>Current POR</t>
  </si>
  <si>
    <t>All In POR</t>
  </si>
  <si>
    <t>Target All-In POR (ROI)</t>
  </si>
  <si>
    <t>Spending Advice</t>
  </si>
  <si>
    <t>Total</t>
  </si>
  <si>
    <t>Ending Stock</t>
  </si>
  <si>
    <t>Minus Tank</t>
  </si>
  <si>
    <t>With Replenishment</t>
  </si>
  <si>
    <t>From and Forward</t>
  </si>
  <si>
    <t>Uber Food</t>
  </si>
  <si>
    <t>Uber Trip</t>
  </si>
  <si>
    <t>Roku Sub</t>
  </si>
  <si>
    <t>ATT</t>
  </si>
  <si>
    <t>Amazon</t>
  </si>
  <si>
    <t>State Farm</t>
  </si>
  <si>
    <t>Disney</t>
  </si>
  <si>
    <t>Payment (+)</t>
  </si>
  <si>
    <t>Payment Reversal (-)</t>
  </si>
  <si>
    <t>2 Week Spending</t>
  </si>
  <si>
    <t xml:space="preserve">2 Week Budget Limit </t>
  </si>
  <si>
    <t>Maximum Budget Allowance Per Day</t>
  </si>
  <si>
    <t>Suggested MEAN Budget Allowance Per Day</t>
  </si>
  <si>
    <t>NEW Preferred Budget Allowance Per Day</t>
  </si>
  <si>
    <t>Monday</t>
  </si>
  <si>
    <t>Tuesday</t>
  </si>
  <si>
    <t>Wednesday</t>
  </si>
  <si>
    <t>Thursday</t>
  </si>
  <si>
    <t>Saturday</t>
  </si>
  <si>
    <t>Sunday</t>
  </si>
  <si>
    <t>% Left of POR (ROI)</t>
  </si>
  <si>
    <t>+Available/-Over Budget</t>
  </si>
  <si>
    <t>% Total POR Used</t>
  </si>
  <si>
    <t>Totals</t>
  </si>
  <si>
    <t>Next CM2 Statement 
Due Date</t>
  </si>
  <si>
    <t>Next CM1 Statement 
Due Date</t>
  </si>
  <si>
    <t>As-Of</t>
  </si>
  <si>
    <t>CM 1 Due On</t>
  </si>
  <si>
    <t>CM 2 Due On</t>
  </si>
  <si>
    <t>Available</t>
  </si>
  <si>
    <t>Battle Notification:</t>
  </si>
  <si>
    <t>Remaining AFTER Attack</t>
  </si>
  <si>
    <t>Quick Note: https://buymeacoffee.com/theultimatejourney</t>
  </si>
  <si>
    <t>00/00/0000</t>
  </si>
  <si>
    <t>Days Left:</t>
  </si>
  <si>
    <t>Latest Due By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</si>
</sst>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mmm\-yyyy"/>
    <numFmt numFmtId="166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14" fontId="0" fillId="0" borderId="0" xfId="0" applyNumberFormat="1"/>
    <xf numFmtId="164" fontId="0" fillId="0" borderId="0" xfId="0" applyNumberFormat="1" applyAlignment="1">
      <alignment horizontal="right"/>
    </xf>
    <xf numFmtId="2" fontId="0" fillId="0" borderId="0" xfId="0" applyNumberFormat="1"/>
    <xf numFmtId="2" fontId="0" fillId="3" borderId="0" xfId="0" applyNumberFormat="1" applyFill="1"/>
    <xf numFmtId="2" fontId="0" fillId="4" borderId="0" xfId="0" applyNumberFormat="1" applyFill="1"/>
    <xf numFmtId="2" fontId="0" fillId="0" borderId="0" xfId="0" applyNumberFormat="1" applyAlignment="1">
      <alignment wrapText="1"/>
    </xf>
    <xf numFmtId="0" fontId="0" fillId="0" borderId="0" xfId="0" applyAlignment="1">
      <alignment horizontal="center" vertical="center"/>
    </xf>
    <xf numFmtId="4" fontId="0" fillId="5" borderId="0" xfId="0" applyNumberFormat="1" applyFill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" fontId="0" fillId="0" borderId="0" xfId="0" applyNumberFormat="1"/>
    <xf numFmtId="0" fontId="0" fillId="0" borderId="0" xfId="0" applyAlignment="1">
      <alignment horizontal="center"/>
    </xf>
    <xf numFmtId="2" fontId="0" fillId="7" borderId="0" xfId="0" applyNumberFormat="1" applyFill="1"/>
    <xf numFmtId="2" fontId="4" fillId="6" borderId="0" xfId="0" applyNumberFormat="1" applyFont="1" applyFill="1"/>
    <xf numFmtId="2" fontId="0" fillId="5" borderId="0" xfId="0" applyNumberForma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2" fontId="0" fillId="0" borderId="0" xfId="0" applyNumberFormat="1" applyAlignment="1">
      <alignment horizontal="center" vertical="center"/>
    </xf>
    <xf numFmtId="2" fontId="4" fillId="0" borderId="0" xfId="0" applyNumberFormat="1" applyFont="1"/>
    <xf numFmtId="2" fontId="0" fillId="0" borderId="0" xfId="0" applyNumberFormat="1" applyAlignment="1">
      <alignment horizontal="center" vertical="center" wrapText="1"/>
    </xf>
    <xf numFmtId="0" fontId="0" fillId="8" borderId="0" xfId="0" applyFill="1"/>
    <xf numFmtId="0" fontId="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vertical="top" wrapText="1"/>
    </xf>
    <xf numFmtId="14" fontId="0" fillId="2" borderId="0" xfId="0" applyNumberFormat="1" applyFill="1" applyAlignment="1">
      <alignment horizontal="center"/>
    </xf>
    <xf numFmtId="1" fontId="0" fillId="0" borderId="0" xfId="0" applyNumberFormat="1"/>
    <xf numFmtId="2" fontId="3" fillId="8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5" borderId="0" xfId="0" applyFill="1"/>
    <xf numFmtId="0" fontId="0" fillId="0" borderId="0" xfId="0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8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right"/>
    </xf>
    <xf numFmtId="2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0" fillId="6" borderId="0" xfId="0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16" fontId="0" fillId="3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 wrapText="1"/>
    </xf>
    <xf numFmtId="2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7" borderId="0" xfId="0" applyFill="1"/>
    <xf numFmtId="16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7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right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wrapText="1"/>
    </xf>
    <xf numFmtId="1" fontId="0" fillId="5" borderId="0" xfId="0" applyNumberFormat="1" applyFill="1" applyAlignment="1">
      <alignment horizontal="center"/>
    </xf>
    <xf numFmtId="16" fontId="0" fillId="9" borderId="0" xfId="0" applyNumberFormat="1" applyFill="1"/>
    <xf numFmtId="0" fontId="0" fillId="11" borderId="0" xfId="0" applyFill="1" applyAlignment="1">
      <alignment horizontal="center"/>
    </xf>
    <xf numFmtId="2" fontId="0" fillId="12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quotePrefix="1" applyAlignment="1">
      <alignment horizontal="center" vertical="center"/>
    </xf>
    <xf numFmtId="9" fontId="0" fillId="0" borderId="0" xfId="1" applyFont="1" applyAlignment="1">
      <alignment horizontal="center"/>
    </xf>
    <xf numFmtId="2" fontId="0" fillId="0" borderId="0" xfId="0" applyNumberFormat="1" applyAlignment="1">
      <alignment vertical="center"/>
    </xf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10" borderId="0" xfId="0" applyFill="1"/>
    <xf numFmtId="2" fontId="0" fillId="10" borderId="0" xfId="0" applyNumberFormat="1" applyFill="1" applyAlignment="1">
      <alignment horizontal="center"/>
    </xf>
    <xf numFmtId="0" fontId="0" fillId="10" borderId="0" xfId="0" applyFill="1" applyAlignment="1">
      <alignment wrapText="1"/>
    </xf>
    <xf numFmtId="2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" fontId="7" fillId="0" borderId="0" xfId="0" applyNumberFormat="1" applyFont="1" applyAlignment="1">
      <alignment horizontal="center"/>
    </xf>
    <xf numFmtId="166" fontId="0" fillId="0" borderId="0" xfId="0" applyNumberFormat="1" applyAlignment="1">
      <alignment wrapText="1"/>
    </xf>
    <xf numFmtId="166" fontId="0" fillId="3" borderId="0" xfId="0" applyNumberFormat="1" applyFill="1"/>
    <xf numFmtId="166" fontId="0" fillId="0" borderId="0" xfId="0" applyNumberFormat="1"/>
    <xf numFmtId="166" fontId="0" fillId="4" borderId="0" xfId="0" applyNumberFormat="1" applyFill="1"/>
    <xf numFmtId="166" fontId="0" fillId="5" borderId="0" xfId="0" applyNumberFormat="1" applyFill="1" applyAlignment="1">
      <alignment horizontal="center" vertical="center"/>
    </xf>
    <xf numFmtId="166" fontId="0" fillId="0" borderId="0" xfId="0" applyNumberFormat="1" applyAlignment="1">
      <alignment vertical="center"/>
    </xf>
    <xf numFmtId="166" fontId="0" fillId="6" borderId="1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wrapText="1"/>
    </xf>
    <xf numFmtId="166" fontId="0" fillId="0" borderId="0" xfId="0" applyNumberForma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166" fontId="0" fillId="7" borderId="0" xfId="0" applyNumberForma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166" fontId="0" fillId="5" borderId="0" xfId="0" applyNumberFormat="1" applyFill="1" applyAlignment="1">
      <alignment horizontal="center"/>
    </xf>
    <xf numFmtId="166" fontId="6" fillId="0" borderId="0" xfId="0" applyNumberFormat="1" applyFont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66" fontId="0" fillId="7" borderId="5" xfId="0" applyNumberFormat="1" applyFill="1" applyBorder="1" applyAlignment="1">
      <alignment horizontal="center" vertical="center"/>
    </xf>
    <xf numFmtId="166" fontId="0" fillId="5" borderId="4" xfId="0" applyNumberFormat="1" applyFill="1" applyBorder="1" applyAlignment="1">
      <alignment horizontal="center" vertical="center"/>
    </xf>
    <xf numFmtId="166" fontId="0" fillId="5" borderId="6" xfId="0" applyNumberFormat="1" applyFill="1" applyBorder="1" applyAlignment="1">
      <alignment horizontal="center" vertical="center"/>
    </xf>
    <xf numFmtId="166" fontId="0" fillId="5" borderId="5" xfId="0" applyNumberFormat="1" applyFill="1" applyBorder="1" applyAlignment="1">
      <alignment horizontal="center" vertical="center"/>
    </xf>
    <xf numFmtId="166" fontId="0" fillId="5" borderId="0" xfId="0" applyNumberFormat="1" applyFill="1" applyAlignment="1">
      <alignment horizontal="center" vertical="center" wrapText="1"/>
    </xf>
    <xf numFmtId="166" fontId="4" fillId="6" borderId="0" xfId="0" applyNumberFormat="1" applyFont="1" applyFill="1"/>
    <xf numFmtId="166" fontId="0" fillId="2" borderId="0" xfId="0" applyNumberFormat="1" applyFill="1" applyAlignment="1">
      <alignment horizontal="center" vertical="center"/>
    </xf>
    <xf numFmtId="166" fontId="0" fillId="7" borderId="0" xfId="0" applyNumberFormat="1" applyFill="1"/>
    <xf numFmtId="166" fontId="0" fillId="0" borderId="0" xfId="0" applyNumberFormat="1" applyAlignment="1">
      <alignment horizontal="left"/>
    </xf>
    <xf numFmtId="0" fontId="0" fillId="2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43BC-89E0-46D1-A050-F10A0CF8D26C}">
  <sheetPr codeName="Sheet10"/>
  <dimension ref="A1:W51"/>
  <sheetViews>
    <sheetView tabSelected="1" zoomScale="94" zoomScaleNormal="222" workbookViewId="0">
      <selection activeCell="Q3" sqref="Q3"/>
    </sheetView>
  </sheetViews>
  <sheetFormatPr baseColWidth="10" defaultColWidth="8.83203125" defaultRowHeight="15" x14ac:dyDescent="0.2"/>
  <cols>
    <col min="1" max="1" width="47" bestFit="1" customWidth="1"/>
    <col min="2" max="2" width="29.1640625" bestFit="1" customWidth="1"/>
    <col min="3" max="3" width="26.5" bestFit="1" customWidth="1"/>
    <col min="4" max="4" width="13.83203125" bestFit="1" customWidth="1"/>
    <col min="5" max="5" width="20.5" bestFit="1" customWidth="1"/>
    <col min="6" max="6" width="27.5" bestFit="1" customWidth="1"/>
    <col min="7" max="7" width="20.5" bestFit="1" customWidth="1"/>
    <col min="8" max="8" width="15.5" bestFit="1" customWidth="1"/>
    <col min="9" max="9" width="23.5" bestFit="1" customWidth="1"/>
    <col min="10" max="10" width="24.5" style="3" bestFit="1" customWidth="1"/>
    <col min="11" max="11" width="20.1640625" bestFit="1" customWidth="1"/>
    <col min="12" max="12" width="24.5" bestFit="1" customWidth="1"/>
    <col min="13" max="13" width="35.83203125" bestFit="1" customWidth="1"/>
    <col min="14" max="14" width="21" bestFit="1" customWidth="1"/>
    <col min="15" max="15" width="25.5" bestFit="1" customWidth="1"/>
    <col min="16" max="16" width="26.1640625" bestFit="1" customWidth="1"/>
    <col min="17" max="17" width="23.5" bestFit="1" customWidth="1"/>
    <col min="18" max="18" width="15.5" bestFit="1" customWidth="1"/>
    <col min="19" max="20" width="11.5" bestFit="1" customWidth="1"/>
    <col min="21" max="21" width="24.5" bestFit="1" customWidth="1"/>
    <col min="22" max="22" width="16.1640625" bestFit="1" customWidth="1"/>
    <col min="23" max="23" width="14.5" bestFit="1" customWidth="1"/>
  </cols>
  <sheetData>
    <row r="1" spans="1:17" ht="16" x14ac:dyDescent="0.2">
      <c r="A1" s="117"/>
      <c r="B1" t="s">
        <v>0</v>
      </c>
      <c r="C1" t="s">
        <v>1</v>
      </c>
      <c r="D1" t="s">
        <v>2</v>
      </c>
      <c r="E1" s="3" t="s">
        <v>3</v>
      </c>
      <c r="F1" t="s">
        <v>4</v>
      </c>
      <c r="G1" t="s">
        <v>5</v>
      </c>
      <c r="H1" t="s">
        <v>6</v>
      </c>
      <c r="I1" s="2" t="s">
        <v>7</v>
      </c>
    </row>
    <row r="2" spans="1:17" ht="16" thickBot="1" x14ac:dyDescent="0.25">
      <c r="A2" s="117"/>
      <c r="B2" s="4"/>
      <c r="C2" s="4">
        <v>0</v>
      </c>
      <c r="D2" s="5">
        <v>0</v>
      </c>
      <c r="E2" s="90">
        <v>0</v>
      </c>
      <c r="F2" s="91">
        <v>0</v>
      </c>
      <c r="G2" s="93">
        <f>D3</f>
        <v>0</v>
      </c>
      <c r="H2" s="92">
        <v>0</v>
      </c>
      <c r="I2" s="92">
        <f>B13+B14</f>
        <v>0</v>
      </c>
      <c r="J2" s="9"/>
      <c r="K2" s="6"/>
      <c r="L2" s="6"/>
      <c r="M2" s="6"/>
      <c r="N2" s="6"/>
      <c r="O2" s="6"/>
      <c r="P2" s="6"/>
    </row>
    <row r="3" spans="1:17" ht="33" thickBot="1" x14ac:dyDescent="0.25">
      <c r="A3" s="117"/>
      <c r="B3" s="10" t="s">
        <v>9</v>
      </c>
      <c r="C3" s="94">
        <f>IF(J23&gt;L23,D3,D3-(L23-J23)+G17)</f>
        <v>0</v>
      </c>
      <c r="D3" s="96">
        <v>0</v>
      </c>
      <c r="E3" s="3"/>
      <c r="F3" s="92">
        <f>-F2+500</f>
        <v>500</v>
      </c>
      <c r="G3" s="92">
        <f>E2</f>
        <v>0</v>
      </c>
      <c r="I3" s="92">
        <f>F2+C9</f>
        <v>0</v>
      </c>
      <c r="J3" s="13" t="s">
        <v>10</v>
      </c>
      <c r="K3" s="14"/>
      <c r="Q3" s="2" t="s">
        <v>108</v>
      </c>
    </row>
    <row r="4" spans="1:17" ht="16" x14ac:dyDescent="0.2">
      <c r="A4" s="117"/>
      <c r="B4" t="s">
        <v>12</v>
      </c>
      <c r="C4" s="92">
        <f>D25+D26</f>
        <v>0</v>
      </c>
      <c r="D4" s="97" t="s">
        <v>13</v>
      </c>
      <c r="E4" s="98" t="s">
        <v>14</v>
      </c>
      <c r="F4" s="115">
        <f>F3+F2</f>
        <v>500</v>
      </c>
      <c r="G4" s="115">
        <f>G2+G3</f>
        <v>0</v>
      </c>
      <c r="I4" s="113">
        <f>SUM(I2:I3)</f>
        <v>0</v>
      </c>
      <c r="J4" s="112">
        <f>B12+I4+G17</f>
        <v>0</v>
      </c>
      <c r="K4" s="10" t="str">
        <f>IF(J4&gt;=0, "Fuel Up", "Left Over Debt")</f>
        <v>Fuel Up</v>
      </c>
      <c r="M4" s="19" t="str">
        <f>IF(M5 ="&lt;---------------------&gt;","MAXED OUT","")</f>
        <v/>
      </c>
      <c r="N4" s="20" t="s">
        <v>15</v>
      </c>
      <c r="O4" s="21"/>
      <c r="P4" s="15" t="s">
        <v>16</v>
      </c>
      <c r="Q4" s="29" t="s">
        <v>106</v>
      </c>
    </row>
    <row r="5" spans="1:17" ht="19" x14ac:dyDescent="0.25">
      <c r="A5" s="117"/>
      <c r="B5" t="s">
        <v>17</v>
      </c>
      <c r="C5" s="92">
        <f>SUM(D5:E5)-E11</f>
        <v>0</v>
      </c>
      <c r="D5" s="97">
        <v>0</v>
      </c>
      <c r="E5" s="99">
        <v>0</v>
      </c>
      <c r="F5" s="10" t="s">
        <v>18</v>
      </c>
      <c r="G5" s="6"/>
      <c r="I5" s="23"/>
      <c r="J5" s="24"/>
      <c r="M5" s="19" t="str">
        <f t="shared" ref="M5:M29" si="0">IF(B$12&lt;O5, "&lt;---------------------&gt;", "")</f>
        <v/>
      </c>
      <c r="N5" s="25"/>
      <c r="O5" s="10">
        <v>-7500</v>
      </c>
      <c r="P5" s="45" t="s">
        <v>107</v>
      </c>
      <c r="Q5" s="89" t="e">
        <f ca="1">MAX(0,Q4-TODAY())</f>
        <v>#VALUE!</v>
      </c>
    </row>
    <row r="6" spans="1:17" x14ac:dyDescent="0.2">
      <c r="A6" s="117"/>
      <c r="B6" t="s">
        <v>19</v>
      </c>
      <c r="C6" s="92">
        <f>D27</f>
        <v>0</v>
      </c>
      <c r="D6" s="22">
        <f>0+D27</f>
        <v>0</v>
      </c>
      <c r="E6" s="24">
        <f t="shared" ref="E6" si="1">0-F6</f>
        <v>0</v>
      </c>
      <c r="F6" s="22"/>
      <c r="J6" s="9"/>
      <c r="K6" s="14"/>
      <c r="M6" s="19" t="str">
        <f t="shared" si="0"/>
        <v/>
      </c>
      <c r="N6" s="25"/>
      <c r="O6" s="10">
        <v>-7200</v>
      </c>
      <c r="P6" s="26" t="str">
        <f t="shared" ref="P6:P28" si="2">IF(J$4&lt;O6, "&lt;", "")</f>
        <v/>
      </c>
    </row>
    <row r="7" spans="1:17" x14ac:dyDescent="0.2">
      <c r="A7" s="117"/>
      <c r="B7" t="s">
        <v>20</v>
      </c>
      <c r="C7" s="92">
        <f t="shared" ref="C7:C8" si="3">D28</f>
        <v>0</v>
      </c>
      <c r="D7" s="22">
        <f>0+D28</f>
        <v>0</v>
      </c>
      <c r="E7" s="24">
        <f>0-F7</f>
        <v>0</v>
      </c>
      <c r="F7" s="22">
        <v>0</v>
      </c>
      <c r="J7" s="9"/>
      <c r="M7" s="19" t="str">
        <f t="shared" si="0"/>
        <v/>
      </c>
      <c r="N7" s="25"/>
      <c r="O7" s="10">
        <v>-6900</v>
      </c>
      <c r="P7" s="26" t="str">
        <f t="shared" si="2"/>
        <v/>
      </c>
    </row>
    <row r="8" spans="1:17" x14ac:dyDescent="0.2">
      <c r="A8" s="117"/>
      <c r="B8" t="s">
        <v>21</v>
      </c>
      <c r="C8" s="92">
        <f t="shared" si="3"/>
        <v>0</v>
      </c>
      <c r="D8" s="22">
        <f>0+D29</f>
        <v>0</v>
      </c>
      <c r="E8" s="24">
        <f>0-F8</f>
        <v>0</v>
      </c>
      <c r="F8" s="22">
        <v>0</v>
      </c>
      <c r="J8" s="9"/>
      <c r="M8" s="19" t="str">
        <f t="shared" si="0"/>
        <v/>
      </c>
      <c r="N8" s="25"/>
      <c r="O8" s="10">
        <v>-6600</v>
      </c>
      <c r="P8" s="26" t="str">
        <f t="shared" si="2"/>
        <v/>
      </c>
    </row>
    <row r="9" spans="1:17" ht="75" customHeight="1" x14ac:dyDescent="0.2">
      <c r="A9" s="117"/>
      <c r="B9" s="34" t="s">
        <v>22</v>
      </c>
      <c r="C9" s="95">
        <f>SUM(D9:E9)</f>
        <v>0</v>
      </c>
      <c r="D9" s="22">
        <v>0</v>
      </c>
      <c r="E9" s="24">
        <f>0-F9</f>
        <v>0</v>
      </c>
      <c r="F9" s="22">
        <v>0</v>
      </c>
      <c r="G9" s="6"/>
      <c r="J9" s="9"/>
      <c r="M9" s="19" t="str">
        <f t="shared" si="0"/>
        <v/>
      </c>
      <c r="N9" s="25"/>
      <c r="O9" s="10">
        <v>-6300</v>
      </c>
      <c r="P9" s="26" t="str">
        <f>IF(J$4&lt;O9, "&lt;", "")</f>
        <v/>
      </c>
    </row>
    <row r="10" spans="1:17" ht="32" x14ac:dyDescent="0.2">
      <c r="B10" t="s">
        <v>23</v>
      </c>
      <c r="C10" s="92">
        <f>C3</f>
        <v>0</v>
      </c>
      <c r="D10" s="22"/>
      <c r="E10" s="24"/>
      <c r="F10" s="6"/>
      <c r="H10" s="27" t="s">
        <v>48</v>
      </c>
      <c r="J10" s="9"/>
      <c r="M10" s="19" t="str">
        <f t="shared" si="0"/>
        <v/>
      </c>
      <c r="N10" s="25"/>
      <c r="O10" s="10">
        <v>-6000</v>
      </c>
      <c r="P10" s="26" t="str">
        <f>IF(J$4&lt;O10, "&lt;", "")</f>
        <v/>
      </c>
    </row>
    <row r="11" spans="1:17" ht="16" x14ac:dyDescent="0.2">
      <c r="A11" t="s">
        <v>105</v>
      </c>
      <c r="B11" t="s">
        <v>103</v>
      </c>
      <c r="C11" s="28" t="str">
        <f>IF(B13&gt;0,"There is a CM Approaching","All Clear")</f>
        <v>All Clear</v>
      </c>
      <c r="D11" t="s">
        <v>27</v>
      </c>
      <c r="E11" s="90">
        <f>F6+F7+F8+F9</f>
        <v>0</v>
      </c>
      <c r="H11" s="29" t="s">
        <v>106</v>
      </c>
      <c r="M11" s="19" t="str">
        <f t="shared" si="0"/>
        <v/>
      </c>
      <c r="N11" s="25"/>
      <c r="O11" s="10">
        <v>-5700</v>
      </c>
      <c r="P11" s="26" t="str">
        <f t="shared" si="2"/>
        <v/>
      </c>
      <c r="Q11" s="30"/>
    </row>
    <row r="12" spans="1:17" ht="16" x14ac:dyDescent="0.2">
      <c r="A12" s="10" t="s">
        <v>28</v>
      </c>
      <c r="B12" s="31">
        <f>-B15</f>
        <v>0</v>
      </c>
      <c r="C12" s="10" t="s">
        <v>29</v>
      </c>
      <c r="D12" s="32" t="s">
        <v>30</v>
      </c>
      <c r="E12" s="13" t="s">
        <v>31</v>
      </c>
      <c r="F12" s="13" t="s">
        <v>104</v>
      </c>
      <c r="G12" s="10" t="s">
        <v>33</v>
      </c>
      <c r="H12" s="10" t="s">
        <v>34</v>
      </c>
      <c r="I12" s="10" t="s">
        <v>35</v>
      </c>
      <c r="J12" s="10" t="s">
        <v>36</v>
      </c>
      <c r="K12" s="10" t="s">
        <v>37</v>
      </c>
      <c r="L12" s="10" t="s">
        <v>38</v>
      </c>
      <c r="M12" s="19" t="str">
        <f t="shared" si="0"/>
        <v/>
      </c>
      <c r="N12" s="33"/>
      <c r="O12" s="10">
        <v>-5400</v>
      </c>
      <c r="P12" s="26" t="str">
        <f t="shared" si="2"/>
        <v/>
      </c>
      <c r="Q12" s="30"/>
    </row>
    <row r="13" spans="1:17" x14ac:dyDescent="0.2">
      <c r="A13" s="34" t="s">
        <v>39</v>
      </c>
      <c r="B13" s="97">
        <v>0</v>
      </c>
      <c r="C13" s="100">
        <v>0</v>
      </c>
      <c r="D13" s="97">
        <f>B13-C13</f>
        <v>0</v>
      </c>
      <c r="E13" s="101">
        <f>I13</f>
        <v>0</v>
      </c>
      <c r="F13" s="97">
        <f>B13-E13</f>
        <v>0</v>
      </c>
      <c r="G13" s="37" t="str">
        <f>IFERROR(IF(OR(H13=0,C2=0),"",H13-C2),"")</f>
        <v/>
      </c>
      <c r="H13" s="29" t="s">
        <v>106</v>
      </c>
      <c r="I13" s="97">
        <v>0</v>
      </c>
      <c r="J13" s="99">
        <f>L13</f>
        <v>0</v>
      </c>
      <c r="K13" s="10" t="s">
        <v>40</v>
      </c>
      <c r="L13" s="97">
        <f>C13</f>
        <v>0</v>
      </c>
      <c r="M13" s="19" t="str">
        <f t="shared" si="0"/>
        <v/>
      </c>
      <c r="N13" s="33"/>
      <c r="O13" s="10">
        <v>-5100</v>
      </c>
      <c r="P13" s="26" t="str">
        <f t="shared" si="2"/>
        <v/>
      </c>
      <c r="Q13" s="30"/>
    </row>
    <row r="14" spans="1:17" x14ac:dyDescent="0.2">
      <c r="A14" s="34" t="s">
        <v>41</v>
      </c>
      <c r="B14" s="97">
        <v>0</v>
      </c>
      <c r="C14" s="100">
        <v>0</v>
      </c>
      <c r="D14" s="97">
        <f>B14-C14</f>
        <v>0</v>
      </c>
      <c r="E14" s="101">
        <f>I14</f>
        <v>0</v>
      </c>
      <c r="F14" s="97">
        <f>B14-E14</f>
        <v>0</v>
      </c>
      <c r="G14" s="37" t="str">
        <f>IFERROR(IF(OR(H14=0,C2=0),"",H14-C2),"")</f>
        <v/>
      </c>
      <c r="H14" s="38" t="s">
        <v>106</v>
      </c>
      <c r="I14" s="97">
        <v>0</v>
      </c>
      <c r="J14" s="99">
        <f>L14</f>
        <v>0</v>
      </c>
      <c r="K14" s="10" t="s">
        <v>40</v>
      </c>
      <c r="L14" s="97">
        <f>C14</f>
        <v>0</v>
      </c>
      <c r="M14" s="19" t="str">
        <f t="shared" si="0"/>
        <v/>
      </c>
      <c r="N14" s="33"/>
      <c r="O14" s="10">
        <v>-4800</v>
      </c>
      <c r="P14" s="26" t="str">
        <f t="shared" si="2"/>
        <v/>
      </c>
      <c r="Q14" s="30"/>
    </row>
    <row r="15" spans="1:17" x14ac:dyDescent="0.2">
      <c r="A15" s="34" t="s">
        <v>42</v>
      </c>
      <c r="B15" s="94">
        <f>SUM(B13:B14)</f>
        <v>0</v>
      </c>
      <c r="C15" s="100">
        <f>SUM(C13:C14)</f>
        <v>0</v>
      </c>
      <c r="D15" s="97">
        <f>SUM(D13:D14)</f>
        <v>0</v>
      </c>
      <c r="E15" s="101">
        <f>SUM(E13:E14)</f>
        <v>0</v>
      </c>
      <c r="F15" s="102">
        <f>SUM(F13:F14)</f>
        <v>0</v>
      </c>
      <c r="G15" s="37"/>
      <c r="H15" s="10" t="s">
        <v>43</v>
      </c>
      <c r="I15" s="103">
        <f>SUM(I13:I14)</f>
        <v>0</v>
      </c>
      <c r="J15" s="99">
        <f>SUM(J13:J14)</f>
        <v>0</v>
      </c>
      <c r="K15" s="10" t="s">
        <v>40</v>
      </c>
      <c r="L15" s="97">
        <f>SUM(L13:L14)</f>
        <v>0</v>
      </c>
      <c r="M15" s="19" t="str">
        <f t="shared" si="0"/>
        <v/>
      </c>
      <c r="N15" s="33"/>
      <c r="O15" s="10">
        <v>-4500</v>
      </c>
      <c r="P15" s="26" t="str">
        <f t="shared" si="2"/>
        <v/>
      </c>
      <c r="Q15" s="30"/>
    </row>
    <row r="16" spans="1:17" x14ac:dyDescent="0.2">
      <c r="B16" s="22"/>
      <c r="C16" s="35"/>
      <c r="E16" s="43" t="s">
        <v>44</v>
      </c>
      <c r="J16" s="44"/>
      <c r="K16" s="45"/>
      <c r="M16" s="19" t="str">
        <f t="shared" si="0"/>
        <v/>
      </c>
      <c r="N16" s="33"/>
      <c r="O16" s="10">
        <v>-4200</v>
      </c>
      <c r="P16" s="26" t="str">
        <f t="shared" si="2"/>
        <v/>
      </c>
      <c r="Q16" s="30"/>
    </row>
    <row r="17" spans="1:23" x14ac:dyDescent="0.2">
      <c r="A17" s="2" t="s">
        <v>45</v>
      </c>
      <c r="B17" s="116"/>
      <c r="C17" s="10" t="s">
        <v>46</v>
      </c>
      <c r="D17" s="47"/>
      <c r="F17" s="48" t="s">
        <v>47</v>
      </c>
      <c r="G17" s="49"/>
      <c r="H17" s="10"/>
      <c r="J17" s="44"/>
      <c r="K17" s="50"/>
      <c r="M17" s="19" t="str">
        <f t="shared" si="0"/>
        <v/>
      </c>
      <c r="N17" s="33"/>
      <c r="O17" s="10">
        <v>-3900</v>
      </c>
      <c r="P17" s="26" t="str">
        <f t="shared" si="2"/>
        <v/>
      </c>
      <c r="Q17" s="30"/>
    </row>
    <row r="18" spans="1:23" x14ac:dyDescent="0.2">
      <c r="A18">
        <v>1</v>
      </c>
      <c r="B18" s="116"/>
      <c r="C18" s="15" t="str">
        <f>IF(B28&gt;B17,"Increase","Decrease")</f>
        <v>Decrease</v>
      </c>
      <c r="D18" s="106">
        <f>B28-B17</f>
        <v>0</v>
      </c>
      <c r="E18" s="43"/>
      <c r="F18" t="s">
        <v>48</v>
      </c>
      <c r="G18" s="15"/>
      <c r="H18" s="15"/>
      <c r="M18" s="19" t="str">
        <f t="shared" si="0"/>
        <v/>
      </c>
      <c r="N18" s="33"/>
      <c r="O18" s="10">
        <v>-3600</v>
      </c>
      <c r="P18" s="26" t="str">
        <f t="shared" si="2"/>
        <v/>
      </c>
      <c r="Q18" s="30"/>
    </row>
    <row r="19" spans="1:23" x14ac:dyDescent="0.2">
      <c r="A19">
        <v>2</v>
      </c>
      <c r="B19" s="116"/>
      <c r="D19" s="10"/>
      <c r="E19" t="s">
        <v>50</v>
      </c>
      <c r="F19" s="52" t="str">
        <f>H11</f>
        <v>00/00/0000</v>
      </c>
      <c r="G19" s="10"/>
      <c r="H19" s="15" t="s">
        <v>51</v>
      </c>
      <c r="J19" s="15" t="s">
        <v>52</v>
      </c>
      <c r="K19" s="15" t="s">
        <v>53</v>
      </c>
      <c r="L19" s="53" t="str">
        <f>H13</f>
        <v>00/00/0000</v>
      </c>
      <c r="M19" s="19" t="str">
        <f t="shared" si="0"/>
        <v/>
      </c>
      <c r="N19" s="33"/>
      <c r="O19" s="10">
        <v>-3300</v>
      </c>
      <c r="P19" s="26" t="str">
        <f t="shared" si="2"/>
        <v/>
      </c>
      <c r="Q19" s="30"/>
    </row>
    <row r="20" spans="1:23" ht="17" thickBot="1" x14ac:dyDescent="0.25">
      <c r="A20">
        <v>3</v>
      </c>
      <c r="B20" s="116"/>
      <c r="D20" s="10"/>
      <c r="E20" s="1"/>
      <c r="F20" s="10" t="s">
        <v>100</v>
      </c>
      <c r="G20" s="54" t="s">
        <v>55</v>
      </c>
      <c r="H20" s="55" t="s">
        <v>56</v>
      </c>
      <c r="I20" s="56" t="s">
        <v>57</v>
      </c>
      <c r="J20" s="105">
        <f>J15</f>
        <v>0</v>
      </c>
      <c r="K20" s="54" t="str">
        <f>IF(J20 &gt;=L20, "Paid", "Due")</f>
        <v>Paid</v>
      </c>
      <c r="L20" s="94">
        <f>L15</f>
        <v>0</v>
      </c>
      <c r="M20" s="19" t="str">
        <f t="shared" si="0"/>
        <v/>
      </c>
      <c r="N20" s="33"/>
      <c r="O20" s="10">
        <v>-3000</v>
      </c>
      <c r="P20" s="26" t="str">
        <f t="shared" si="2"/>
        <v/>
      </c>
      <c r="Q20" s="30"/>
    </row>
    <row r="21" spans="1:23" ht="49" thickBot="1" x14ac:dyDescent="0.25">
      <c r="A21">
        <v>4</v>
      </c>
      <c r="B21" s="116"/>
      <c r="D21" s="10"/>
      <c r="E21" s="1"/>
      <c r="F21" s="59" t="str">
        <f>H13</f>
        <v>00/00/0000</v>
      </c>
      <c r="G21" s="82" t="str">
        <f>IFERROR(IF(OR(F21=0,E23=0),"",F21-E23),"")</f>
        <v/>
      </c>
      <c r="H21" s="83" t="s">
        <v>98</v>
      </c>
      <c r="I21" s="69" t="s">
        <v>59</v>
      </c>
      <c r="J21" s="94">
        <f>D25</f>
        <v>0</v>
      </c>
      <c r="K21" s="82" t="str">
        <f>IF(J21 =L21, "Paid", "Due")</f>
        <v>Paid</v>
      </c>
      <c r="L21" s="94">
        <f>D25</f>
        <v>0</v>
      </c>
      <c r="M21" s="19" t="str">
        <f t="shared" si="0"/>
        <v/>
      </c>
      <c r="N21" s="33"/>
      <c r="O21" s="10">
        <v>-2700</v>
      </c>
      <c r="P21" s="26" t="str">
        <f t="shared" si="2"/>
        <v/>
      </c>
      <c r="Q21" s="30"/>
    </row>
    <row r="22" spans="1:23" ht="17" thickBot="1" x14ac:dyDescent="0.25">
      <c r="A22">
        <v>5</v>
      </c>
      <c r="B22" s="116"/>
      <c r="D22" s="10"/>
      <c r="E22" s="1"/>
      <c r="F22" s="10" t="s">
        <v>101</v>
      </c>
      <c r="G22" s="54" t="s">
        <v>55</v>
      </c>
      <c r="H22" s="55" t="s">
        <v>56</v>
      </c>
      <c r="I22" s="56" t="s">
        <v>60</v>
      </c>
      <c r="J22" s="105">
        <f>D26</f>
        <v>0</v>
      </c>
      <c r="K22" s="54" t="str">
        <f>IF(J22 =L22, "Paid", "Due")</f>
        <v>Paid</v>
      </c>
      <c r="L22" s="94">
        <f>D26</f>
        <v>0</v>
      </c>
      <c r="M22" s="19" t="str">
        <f t="shared" si="0"/>
        <v/>
      </c>
      <c r="N22" s="60"/>
      <c r="O22" s="10">
        <v>-2400</v>
      </c>
      <c r="P22" s="26" t="str">
        <f t="shared" si="2"/>
        <v/>
      </c>
      <c r="Q22" s="30"/>
    </row>
    <row r="23" spans="1:23" ht="49" thickBot="1" x14ac:dyDescent="0.25">
      <c r="A23">
        <v>6</v>
      </c>
      <c r="B23" s="116"/>
      <c r="D23" s="10"/>
      <c r="E23" s="38">
        <f>C2</f>
        <v>0</v>
      </c>
      <c r="F23" s="61" t="str">
        <f>H14</f>
        <v>00/00/0000</v>
      </c>
      <c r="G23" s="82" t="str">
        <f>IFERROR(IF(OR(F23=0,E23=0),"",F23-E23),"")</f>
        <v/>
      </c>
      <c r="H23" s="83" t="s">
        <v>97</v>
      </c>
      <c r="I23" s="58" t="s">
        <v>102</v>
      </c>
      <c r="J23" s="112">
        <f>SUM(J20:J22)</f>
        <v>0</v>
      </c>
      <c r="K23" s="82" t="str">
        <f>IF(J23 =L23, "Paid", "Due")</f>
        <v>Paid</v>
      </c>
      <c r="L23" s="94">
        <f>SUM(L20:L22)</f>
        <v>0</v>
      </c>
      <c r="M23" s="19" t="str">
        <f t="shared" si="0"/>
        <v/>
      </c>
      <c r="N23" s="60"/>
      <c r="O23" s="10">
        <v>-2100</v>
      </c>
      <c r="P23" s="26" t="str">
        <f t="shared" si="2"/>
        <v/>
      </c>
      <c r="Q23" s="30"/>
    </row>
    <row r="24" spans="1:23" ht="16" thickBot="1" x14ac:dyDescent="0.25">
      <c r="A24">
        <v>7</v>
      </c>
      <c r="B24" s="116"/>
      <c r="C24" s="15" t="s">
        <v>62</v>
      </c>
      <c r="D24" s="10"/>
      <c r="E24" s="62" t="s">
        <v>99</v>
      </c>
      <c r="G24" s="84"/>
      <c r="H24" s="84"/>
      <c r="I24" s="85"/>
      <c r="J24" s="86"/>
      <c r="K24" s="72"/>
      <c r="L24" s="84"/>
      <c r="M24" s="19" t="str">
        <f t="shared" si="0"/>
        <v/>
      </c>
      <c r="N24" s="60"/>
      <c r="O24" s="10">
        <v>-1800</v>
      </c>
      <c r="P24" s="26" t="str">
        <f t="shared" si="2"/>
        <v/>
      </c>
      <c r="Q24" s="30"/>
    </row>
    <row r="25" spans="1:23" ht="37.25" customHeight="1" thickTop="1" x14ac:dyDescent="0.2">
      <c r="A25">
        <v>8</v>
      </c>
      <c r="B25" s="116"/>
      <c r="C25" s="2" t="str">
        <f>I21</f>
        <v>Mortgage</v>
      </c>
      <c r="D25" s="104">
        <v>0</v>
      </c>
      <c r="E25" s="88">
        <f>C$2</f>
        <v>0</v>
      </c>
      <c r="G25" s="13" t="s">
        <v>63</v>
      </c>
      <c r="H25" s="107">
        <f>F2</f>
        <v>0</v>
      </c>
      <c r="I25" s="63" t="s">
        <v>64</v>
      </c>
      <c r="J25" s="63" t="s">
        <v>65</v>
      </c>
      <c r="K25" s="64" t="s">
        <v>66</v>
      </c>
      <c r="L25" s="65" t="s">
        <v>67</v>
      </c>
      <c r="M25" s="19" t="str">
        <f t="shared" si="0"/>
        <v/>
      </c>
      <c r="N25" s="60"/>
      <c r="O25" s="10">
        <v>-1500</v>
      </c>
      <c r="P25" s="26" t="str">
        <f t="shared" si="2"/>
        <v/>
      </c>
      <c r="Q25" s="30"/>
    </row>
    <row r="26" spans="1:23" ht="16" thickBot="1" x14ac:dyDescent="0.25">
      <c r="A26">
        <v>9</v>
      </c>
      <c r="B26" s="116"/>
      <c r="C26" s="2" t="str">
        <f>I22</f>
        <v>HOA</v>
      </c>
      <c r="D26" s="104">
        <v>0</v>
      </c>
      <c r="E26" s="88">
        <f t="shared" ref="E26:E29" si="4">C$2</f>
        <v>0</v>
      </c>
      <c r="H26" s="108">
        <f>G2</f>
        <v>0</v>
      </c>
      <c r="I26" s="99">
        <f>G17+C3+F2-I15-M50+E11</f>
        <v>0</v>
      </c>
      <c r="J26" s="99">
        <f>G17+C3+C8+F2-M50</f>
        <v>0</v>
      </c>
      <c r="K26" s="114">
        <v>5000</v>
      </c>
      <c r="L26" s="68" t="str">
        <f>IF(I26 &lt;= 0, "Freeze Credit Spending","Stable Account")</f>
        <v>Freeze Credit Spending</v>
      </c>
      <c r="M26" s="19" t="str">
        <f t="shared" si="0"/>
        <v/>
      </c>
      <c r="N26" s="60"/>
      <c r="O26" s="10">
        <v>-1200</v>
      </c>
      <c r="P26" s="26" t="str">
        <f t="shared" si="2"/>
        <v/>
      </c>
      <c r="Q26" s="30"/>
    </row>
    <row r="27" spans="1:23" x14ac:dyDescent="0.2">
      <c r="A27">
        <v>10</v>
      </c>
      <c r="B27" s="116"/>
      <c r="C27" s="2" t="str">
        <f>B6</f>
        <v>Vacation Savings</v>
      </c>
      <c r="D27" s="104">
        <v>0</v>
      </c>
      <c r="E27" s="88">
        <f t="shared" si="4"/>
        <v>0</v>
      </c>
      <c r="G27" s="15" t="s">
        <v>68</v>
      </c>
      <c r="H27" s="109">
        <f>SUM(H25:H26)</f>
        <v>0</v>
      </c>
      <c r="I27" s="37"/>
      <c r="J27" s="66"/>
      <c r="K27" s="10"/>
      <c r="L27" s="10"/>
      <c r="M27" s="19" t="str">
        <f t="shared" si="0"/>
        <v/>
      </c>
      <c r="N27" s="60"/>
      <c r="O27" s="10">
        <v>-900</v>
      </c>
      <c r="P27" s="26" t="str">
        <f>IF(J$4&lt;O27, "&lt;", "")</f>
        <v/>
      </c>
      <c r="Q27" s="30"/>
    </row>
    <row r="28" spans="1:23" x14ac:dyDescent="0.2">
      <c r="A28" s="2" t="s">
        <v>69</v>
      </c>
      <c r="B28" s="116"/>
      <c r="C28" s="2" t="str">
        <f>B7</f>
        <v>Emergency Savings</v>
      </c>
      <c r="D28" s="97">
        <v>0</v>
      </c>
      <c r="E28" s="88">
        <f t="shared" si="4"/>
        <v>0</v>
      </c>
      <c r="G28" s="10" t="s">
        <v>70</v>
      </c>
      <c r="H28" s="110">
        <f>H27-D30</f>
        <v>0</v>
      </c>
      <c r="I28" s="37"/>
      <c r="J28" s="13"/>
      <c r="K28" s="10"/>
      <c r="L28" s="10"/>
      <c r="M28" s="19" t="str">
        <f t="shared" si="0"/>
        <v/>
      </c>
      <c r="N28" s="60"/>
      <c r="O28" s="10">
        <v>-600</v>
      </c>
      <c r="P28" s="26" t="str">
        <f t="shared" si="2"/>
        <v/>
      </c>
      <c r="Q28" s="30"/>
    </row>
    <row r="29" spans="1:23" ht="16" thickBot="1" x14ac:dyDescent="0.25">
      <c r="A29" s="2"/>
      <c r="B29" s="46"/>
      <c r="C29" s="2" t="str">
        <f>B8</f>
        <v>Boost Savings</v>
      </c>
      <c r="D29" s="97">
        <v>0</v>
      </c>
      <c r="E29" s="88">
        <f t="shared" si="4"/>
        <v>0</v>
      </c>
      <c r="G29" t="s">
        <v>71</v>
      </c>
      <c r="H29" s="111">
        <f>H27+G17</f>
        <v>0</v>
      </c>
      <c r="I29" s="10"/>
      <c r="J29" s="13"/>
      <c r="K29" s="10"/>
      <c r="L29" s="10"/>
      <c r="M29" s="19" t="str">
        <f t="shared" si="0"/>
        <v/>
      </c>
      <c r="N29" s="60"/>
      <c r="O29" s="10">
        <v>-300</v>
      </c>
      <c r="P29" s="26" t="str">
        <f>IF(J$4&lt;O29, "&lt;", "")</f>
        <v/>
      </c>
      <c r="Q29" s="30"/>
    </row>
    <row r="30" spans="1:23" ht="16" thickBot="1" x14ac:dyDescent="0.25">
      <c r="B30" s="87"/>
      <c r="C30" s="2" t="s">
        <v>68</v>
      </c>
      <c r="D30" s="97">
        <f>SUM(D25:D29)</f>
        <v>0</v>
      </c>
      <c r="H30" s="10"/>
      <c r="I30" s="10"/>
      <c r="J30" s="13"/>
      <c r="K30" s="10"/>
      <c r="L30" s="10"/>
      <c r="M30" s="19" t="str">
        <f>IF(B$12&lt;O30, "&lt;---------------------&gt;", "")</f>
        <v/>
      </c>
      <c r="N30" s="60"/>
      <c r="O30" s="10">
        <v>0</v>
      </c>
      <c r="P30" s="26" t="str">
        <f>IF(J$4&lt;O30, "&lt;", "")</f>
        <v/>
      </c>
      <c r="Q30" s="30"/>
    </row>
    <row r="31" spans="1:23" x14ac:dyDescent="0.2">
      <c r="B31" s="22"/>
      <c r="C31" s="2"/>
      <c r="D31" s="10"/>
      <c r="H31" s="10"/>
      <c r="I31" s="10"/>
      <c r="J31" s="13"/>
      <c r="K31" s="10"/>
      <c r="L31" s="10"/>
      <c r="M31" s="10"/>
      <c r="N31" s="10"/>
      <c r="O31" s="10"/>
      <c r="P31" s="10"/>
      <c r="Q31" s="10"/>
    </row>
    <row r="32" spans="1:23" x14ac:dyDescent="0.2">
      <c r="B32" s="6"/>
      <c r="H32" s="10"/>
      <c r="I32" s="10"/>
      <c r="J32" s="13"/>
      <c r="K32" s="10"/>
      <c r="L32" s="10"/>
      <c r="M32" s="10"/>
      <c r="N32" s="10"/>
      <c r="O32" s="10"/>
      <c r="P32" s="10"/>
      <c r="Q32" s="10"/>
      <c r="W32" s="10"/>
    </row>
    <row r="33" spans="1:20" ht="32" x14ac:dyDescent="0.2">
      <c r="B33" s="2" t="s">
        <v>72</v>
      </c>
      <c r="C33" s="15"/>
      <c r="D33" s="15"/>
      <c r="E33" s="15"/>
      <c r="F33" s="15"/>
      <c r="G33" s="27"/>
      <c r="H33" s="27"/>
      <c r="I33" s="27"/>
      <c r="J33" s="15"/>
      <c r="K33" s="15" t="s">
        <v>80</v>
      </c>
      <c r="L33" s="15" t="s">
        <v>81</v>
      </c>
      <c r="M33" s="69" t="s">
        <v>82</v>
      </c>
      <c r="N33" s="69" t="s">
        <v>83</v>
      </c>
      <c r="O33" s="70" t="s">
        <v>84</v>
      </c>
      <c r="P33" s="69" t="s">
        <v>85</v>
      </c>
      <c r="Q33" s="63" t="s">
        <v>86</v>
      </c>
      <c r="T33" s="6"/>
    </row>
    <row r="34" spans="1:20" x14ac:dyDescent="0.2">
      <c r="A34" s="71"/>
      <c r="B34" s="71"/>
      <c r="C34" s="72"/>
      <c r="D34" s="72"/>
      <c r="E34" s="72"/>
      <c r="F34" s="72"/>
      <c r="G34" s="73"/>
      <c r="H34" s="73"/>
      <c r="I34" s="73"/>
      <c r="J34" s="72"/>
      <c r="K34" s="72"/>
      <c r="L34" s="72"/>
      <c r="M34" s="69"/>
      <c r="N34" s="74">
        <f>IFERROR(I26,0)</f>
        <v>0</v>
      </c>
      <c r="O34" s="37">
        <f>IFERROR(N34/Q50,0)</f>
        <v>0</v>
      </c>
      <c r="P34" s="37">
        <f>IFERROR(O34/Q50,0)</f>
        <v>0</v>
      </c>
      <c r="Q34" s="37">
        <f>IFERROR(P34/Q50,0)</f>
        <v>0</v>
      </c>
    </row>
    <row r="35" spans="1:20" x14ac:dyDescent="0.2">
      <c r="A35" s="71" t="s">
        <v>87</v>
      </c>
      <c r="B35" s="75">
        <f>C$2</f>
        <v>0</v>
      </c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105">
        <f t="shared" ref="M35" si="5">SUM(C35:I35)</f>
        <v>0</v>
      </c>
      <c r="N35" s="77">
        <f>IFERROR(N34-M35,0)</f>
        <v>0</v>
      </c>
      <c r="O35" s="77">
        <f t="shared" ref="O35:O48" si="6">IFERROR(O34-M35/Q$50,0)</f>
        <v>0</v>
      </c>
      <c r="P35" s="77">
        <f t="shared" ref="P35:P48" si="7">IFERROR(P34-M35/Q$50,0)</f>
        <v>0</v>
      </c>
      <c r="Q35" s="77">
        <f t="shared" ref="Q35:Q48" si="8">IFERROR(Q34-M35/Q$50,0)</f>
        <v>0</v>
      </c>
    </row>
    <row r="36" spans="1:20" x14ac:dyDescent="0.2">
      <c r="A36" s="71" t="s">
        <v>88</v>
      </c>
      <c r="B36" s="75">
        <f>C$2+1</f>
        <v>1</v>
      </c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105">
        <f>SUM(C36:L36)</f>
        <v>0</v>
      </c>
      <c r="N36" s="77">
        <f t="shared" ref="N36:N48" si="9">IFERROR(N35-M36/Q$50,0)</f>
        <v>0</v>
      </c>
      <c r="O36" s="77">
        <f t="shared" si="6"/>
        <v>0</v>
      </c>
      <c r="P36" s="77">
        <f t="shared" si="7"/>
        <v>0</v>
      </c>
      <c r="Q36" s="77">
        <f t="shared" si="8"/>
        <v>0</v>
      </c>
    </row>
    <row r="37" spans="1:20" x14ac:dyDescent="0.2">
      <c r="A37" s="71" t="s">
        <v>89</v>
      </c>
      <c r="B37" s="75">
        <f>C$2+3</f>
        <v>3</v>
      </c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105">
        <f>SUM(C37:L37)</f>
        <v>0</v>
      </c>
      <c r="N37" s="77">
        <f t="shared" si="9"/>
        <v>0</v>
      </c>
      <c r="O37" s="77">
        <f t="shared" si="6"/>
        <v>0</v>
      </c>
      <c r="P37" s="77">
        <f t="shared" si="7"/>
        <v>0</v>
      </c>
      <c r="Q37" s="77">
        <f t="shared" si="8"/>
        <v>0</v>
      </c>
    </row>
    <row r="38" spans="1:20" x14ac:dyDescent="0.2">
      <c r="A38" s="71" t="s">
        <v>90</v>
      </c>
      <c r="B38" s="75">
        <f>C$2+4</f>
        <v>4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105">
        <f t="shared" ref="M38:M48" si="10">SUM(C38:L38)</f>
        <v>0</v>
      </c>
      <c r="N38" s="77">
        <f t="shared" si="9"/>
        <v>0</v>
      </c>
      <c r="O38" s="77">
        <f t="shared" si="6"/>
        <v>0</v>
      </c>
      <c r="P38" s="77">
        <f t="shared" si="7"/>
        <v>0</v>
      </c>
      <c r="Q38" s="77">
        <f t="shared" si="8"/>
        <v>0</v>
      </c>
    </row>
    <row r="39" spans="1:20" x14ac:dyDescent="0.2">
      <c r="A39" s="71" t="s">
        <v>8</v>
      </c>
      <c r="B39" s="75">
        <f>C$2+5</f>
        <v>5</v>
      </c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105">
        <f t="shared" si="10"/>
        <v>0</v>
      </c>
      <c r="N39" s="77">
        <f t="shared" si="9"/>
        <v>0</v>
      </c>
      <c r="O39" s="77">
        <f t="shared" si="6"/>
        <v>0</v>
      </c>
      <c r="P39" s="77">
        <f t="shared" si="7"/>
        <v>0</v>
      </c>
      <c r="Q39" s="77">
        <f t="shared" si="8"/>
        <v>0</v>
      </c>
    </row>
    <row r="40" spans="1:20" ht="15.5" customHeight="1" x14ac:dyDescent="0.2">
      <c r="A40" s="71" t="s">
        <v>91</v>
      </c>
      <c r="B40" s="75">
        <f>C$2+6</f>
        <v>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105">
        <f t="shared" si="10"/>
        <v>0</v>
      </c>
      <c r="N40" s="77">
        <f t="shared" si="9"/>
        <v>0</v>
      </c>
      <c r="O40" s="77">
        <f t="shared" si="6"/>
        <v>0</v>
      </c>
      <c r="P40" s="77">
        <f t="shared" si="7"/>
        <v>0</v>
      </c>
      <c r="Q40" s="77">
        <f t="shared" si="8"/>
        <v>0</v>
      </c>
    </row>
    <row r="41" spans="1:20" ht="12" customHeight="1" x14ac:dyDescent="0.2">
      <c r="A41" s="71" t="s">
        <v>92</v>
      </c>
      <c r="B41" s="75">
        <f>C$2+7</f>
        <v>7</v>
      </c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105">
        <f>SUM(C41:L41)</f>
        <v>0</v>
      </c>
      <c r="N41" s="77">
        <f t="shared" si="9"/>
        <v>0</v>
      </c>
      <c r="O41" s="77">
        <f t="shared" si="6"/>
        <v>0</v>
      </c>
      <c r="P41" s="77">
        <f t="shared" si="7"/>
        <v>0</v>
      </c>
      <c r="Q41" s="77">
        <f t="shared" si="8"/>
        <v>0</v>
      </c>
    </row>
    <row r="42" spans="1:20" x14ac:dyDescent="0.2">
      <c r="A42" s="71" t="s">
        <v>87</v>
      </c>
      <c r="B42" s="75">
        <f>C$2+8</f>
        <v>8</v>
      </c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105">
        <f>SUM(C42:L42)</f>
        <v>0</v>
      </c>
      <c r="N42" s="77">
        <f t="shared" si="9"/>
        <v>0</v>
      </c>
      <c r="O42" s="77">
        <f t="shared" si="6"/>
        <v>0</v>
      </c>
      <c r="P42" s="77">
        <f t="shared" si="7"/>
        <v>0</v>
      </c>
      <c r="Q42" s="77">
        <f t="shared" si="8"/>
        <v>0</v>
      </c>
    </row>
    <row r="43" spans="1:20" x14ac:dyDescent="0.2">
      <c r="A43" s="71" t="s">
        <v>88</v>
      </c>
      <c r="B43" s="75">
        <f>C$2+9</f>
        <v>9</v>
      </c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105">
        <f t="shared" si="10"/>
        <v>0</v>
      </c>
      <c r="N43" s="77">
        <f t="shared" si="9"/>
        <v>0</v>
      </c>
      <c r="O43" s="77">
        <f t="shared" si="6"/>
        <v>0</v>
      </c>
      <c r="P43" s="77">
        <f t="shared" si="7"/>
        <v>0</v>
      </c>
      <c r="Q43" s="77">
        <f t="shared" si="8"/>
        <v>0</v>
      </c>
    </row>
    <row r="44" spans="1:20" x14ac:dyDescent="0.2">
      <c r="A44" s="71" t="s">
        <v>89</v>
      </c>
      <c r="B44" s="75">
        <f>C$2+10</f>
        <v>10</v>
      </c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105">
        <f t="shared" si="10"/>
        <v>0</v>
      </c>
      <c r="N44" s="77">
        <f t="shared" si="9"/>
        <v>0</v>
      </c>
      <c r="O44" s="77">
        <f t="shared" si="6"/>
        <v>0</v>
      </c>
      <c r="P44" s="77">
        <f t="shared" si="7"/>
        <v>0</v>
      </c>
      <c r="Q44" s="77">
        <f t="shared" si="8"/>
        <v>0</v>
      </c>
    </row>
    <row r="45" spans="1:20" x14ac:dyDescent="0.2">
      <c r="A45" s="71" t="s">
        <v>90</v>
      </c>
      <c r="B45" s="75">
        <f>C$2+11</f>
        <v>11</v>
      </c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105">
        <f t="shared" si="10"/>
        <v>0</v>
      </c>
      <c r="N45" s="77">
        <f t="shared" si="9"/>
        <v>0</v>
      </c>
      <c r="O45" s="77">
        <f t="shared" si="6"/>
        <v>0</v>
      </c>
      <c r="P45" s="77">
        <f t="shared" si="7"/>
        <v>0</v>
      </c>
      <c r="Q45" s="77">
        <f t="shared" si="8"/>
        <v>0</v>
      </c>
    </row>
    <row r="46" spans="1:20" x14ac:dyDescent="0.2">
      <c r="A46" s="71" t="s">
        <v>8</v>
      </c>
      <c r="B46" s="75">
        <f>C$2+12</f>
        <v>12</v>
      </c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105">
        <f t="shared" si="10"/>
        <v>0</v>
      </c>
      <c r="N46" s="77">
        <f t="shared" si="9"/>
        <v>0</v>
      </c>
      <c r="O46" s="77">
        <f t="shared" si="6"/>
        <v>0</v>
      </c>
      <c r="P46" s="77">
        <f t="shared" si="7"/>
        <v>0</v>
      </c>
      <c r="Q46" s="77">
        <f t="shared" si="8"/>
        <v>0</v>
      </c>
    </row>
    <row r="47" spans="1:20" x14ac:dyDescent="0.2">
      <c r="A47" s="71" t="s">
        <v>91</v>
      </c>
      <c r="B47" s="75">
        <f>C$2+13</f>
        <v>13</v>
      </c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105">
        <f t="shared" si="10"/>
        <v>0</v>
      </c>
      <c r="N47" s="77">
        <f t="shared" si="9"/>
        <v>0</v>
      </c>
      <c r="O47" s="77">
        <f t="shared" si="6"/>
        <v>0</v>
      </c>
      <c r="P47" s="77">
        <f t="shared" si="7"/>
        <v>0</v>
      </c>
      <c r="Q47" s="77">
        <f t="shared" si="8"/>
        <v>0</v>
      </c>
    </row>
    <row r="48" spans="1:20" x14ac:dyDescent="0.2">
      <c r="A48" s="71" t="s">
        <v>92</v>
      </c>
      <c r="B48" s="75">
        <f>C$2+14</f>
        <v>14</v>
      </c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105">
        <f t="shared" si="10"/>
        <v>0</v>
      </c>
      <c r="N48" s="77">
        <f t="shared" si="9"/>
        <v>0</v>
      </c>
      <c r="O48" s="77">
        <f t="shared" si="6"/>
        <v>0</v>
      </c>
      <c r="P48" s="77">
        <f t="shared" si="7"/>
        <v>0</v>
      </c>
      <c r="Q48" s="77">
        <f t="shared" si="8"/>
        <v>0</v>
      </c>
    </row>
    <row r="49" spans="2:17" x14ac:dyDescent="0.2"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0" t="s">
        <v>93</v>
      </c>
      <c r="O49" s="79" t="s">
        <v>94</v>
      </c>
      <c r="P49" s="15" t="s">
        <v>95</v>
      </c>
      <c r="Q49" s="10" t="s">
        <v>55</v>
      </c>
    </row>
    <row r="50" spans="2:17" x14ac:dyDescent="0.2">
      <c r="B50" s="2" t="s">
        <v>96</v>
      </c>
      <c r="C50" s="104">
        <f>SUM(C35:C48)</f>
        <v>0</v>
      </c>
      <c r="D50" s="104">
        <f>SUM(D35:D48)</f>
        <v>0</v>
      </c>
      <c r="E50" s="104">
        <f t="shared" ref="E50:L50" si="11">SUM(E36:E48)</f>
        <v>0</v>
      </c>
      <c r="F50" s="104">
        <f t="shared" si="11"/>
        <v>0</v>
      </c>
      <c r="G50" s="104">
        <f t="shared" si="11"/>
        <v>0</v>
      </c>
      <c r="H50" s="104">
        <f t="shared" si="11"/>
        <v>0</v>
      </c>
      <c r="I50" s="104">
        <f t="shared" si="11"/>
        <v>0</v>
      </c>
      <c r="J50" s="104">
        <f t="shared" si="11"/>
        <v>0</v>
      </c>
      <c r="K50" s="104">
        <f t="shared" si="11"/>
        <v>0</v>
      </c>
      <c r="L50" s="104">
        <f t="shared" si="11"/>
        <v>0</v>
      </c>
      <c r="M50" s="104">
        <f>SUM(M35:M48)</f>
        <v>0</v>
      </c>
      <c r="N50" s="80">
        <f>IFERROR(I26/H27,0)</f>
        <v>0</v>
      </c>
      <c r="O50" s="37">
        <f>IFERROR((N34-M50)/Q50,0)</f>
        <v>0</v>
      </c>
      <c r="P50" s="80">
        <f>IFERROR(100% -N50,0)</f>
        <v>1</v>
      </c>
      <c r="Q50" s="15">
        <f>G19</f>
        <v>0</v>
      </c>
    </row>
    <row r="51" spans="2:17" x14ac:dyDescent="0.2">
      <c r="O51" s="15"/>
    </row>
  </sheetData>
  <mergeCells count="1">
    <mergeCell ref="A1:A9"/>
  </mergeCells>
  <dataValidations count="48">
    <dataValidation type="list" allowBlank="1" showInputMessage="1" showErrorMessage="1" sqref="B2" xr:uid="{3170D0ED-69B8-2147-B2E8-C845548A1AEB}">
      <formula1>"Monday,Tuesday,Wednesday,Thursday,Friday,Saturday,Sunday"</formula1>
    </dataValidation>
    <dataValidation type="date" allowBlank="1" showInputMessage="1" showErrorMessage="1" errorTitle="Invalid Date" error="Please enter a valid date format." promptTitle="Date Entry" prompt="Please enter a valid date (e.g., 5/4/2026)" sqref="C2" xr:uid="{1A0AC821-D2F1-CC47-BCD2-867E6217E64D}">
      <formula1>1</formula1>
      <formula2>73415</formula2>
    </dataValidation>
    <dataValidation type="time" allowBlank="1" showInputMessage="1" showErrorMessage="1" errorTitle="Invalid Time" error="Please enter a valid time format (e.g., 11:22 AM, 14:30)" promptTitle="Time Entry" prompt="Please enter a valid time (e.g., 11:22 AM, 14:30, 8:08:00 AM)" sqref="D2" xr:uid="{725F1B26-DEA2-2544-B362-19E809BAA3B2}">
      <formula1>0</formula1>
      <formula2>0.999988425925926</formula2>
    </dataValidation>
    <dataValidation type="decimal" allowBlank="1" showInputMessage="1" showErrorMessage="1" errorTitle="Invalid Amount" error="Please enter a valid dollar amount (numbers only, e.g., 100.00)" promptTitle="Saved Amount" prompt="Please enter a dollar amount (e.g., 100.00, 250.50)" sqref="E2" xr:uid="{554C6FD8-DF46-C24A-B6DA-75188B87833F}">
      <formula1>0</formula1>
      <formula2>999999999.99</formula2>
    </dataValidation>
    <dataValidation type="decimal" allowBlank="1" showInputMessage="1" showErrorMessage="1" errorTitle="Invalid Amount" error="Please enter a valid dollar amount (numbers only)." promptTitle="Fuel Amount" prompt="Please enter a dollar amount for fuel (e.g., 50.00, 125.75)" sqref="F2" xr:uid="{2945CFF3-B39B-6B4D-A81C-A094F8872C7D}">
      <formula1>0</formula1>
      <formula2>999999999.99</formula2>
    </dataValidation>
    <dataValidation type="decimal" allowBlank="1" showInputMessage="1" showErrorMessage="1" errorTitle="Invalid Amount" error="Please enter a valid dollar amount (number between 0 and 999,999,999.99)" promptTitle="Bank Saved Amount" prompt="Please enter a dollar amount for bank savings (e.g., 100.00, 250.50)" sqref="H2" xr:uid="{DEBEAC84-DA60-D443-A7D6-80BC8F319DBE}">
      <formula1>0</formula1>
      <formula2>999999999.99</formula2>
    </dataValidation>
    <dataValidation type="decimal" allowBlank="1" showInputMessage="1" showErrorMessage="1" errorTitle="Invalid Entry" error="This cell contains a formula. Please edit E2 or G2 instead." promptTitle="Total Credit Card" prompt="This cell calculates the total credit card amount (Saved + Bank)" sqref="I2" xr:uid="{827C1756-1326-E340-9238-09B695E4E03F}">
      <formula1>0</formula1>
      <formula2>999999999.99</formula2>
    </dataValidation>
    <dataValidation type="date" allowBlank="1" showInputMessage="1" showErrorMessage="1" errorTitle="Invalid Date" error="Please enter a valid date format (e.g., 5/15/2026)" promptTitle="Estimated Pay Drop Date" prompt="Please enter a valid date (e.g., 5/15/2026)" sqref="H11" xr:uid="{C44A92CA-E0FA-D342-848B-7ED51D8B7AC0}">
      <formula1>1</formula1>
      <formula2>73415</formula2>
    </dataValidation>
    <dataValidation type="date" allowBlank="1" showInputMessage="1" showErrorMessage="1" errorTitle="Invalid Date" error="Please enter a valid date format (e.g., 5/15/2026)" promptTitle="CM1 Final Due Date" prompt="Please enter a valid date (e.g., 5/15/2026)" sqref="H13 Q4" xr:uid="{9EAB60B5-5BA8-BE43-A9E2-5E5AD8961415}">
      <formula1>1</formula1>
      <formula2>73415</formula2>
    </dataValidation>
    <dataValidation type="date" allowBlank="1" showInputMessage="1" showErrorMessage="1" errorTitle="Invalid Date" error="Please enter a valid date format (e.g., 5/15/2026)" promptTitle="CM2 Final Due Date" prompt="Please enter a valid date (e.g., 5/15/2026)" sqref="H14" xr:uid="{0B4F1CA8-E9A3-5D46-B4E6-DCA330C9E728}">
      <formula1>1</formula1>
      <formula2>73415</formula2>
    </dataValidation>
    <dataValidation type="date" allowBlank="1" showInputMessage="1" showErrorMessage="1" errorTitle="Invalid Date" error="Please enter a valid date format." promptTitle="As-Of Date (Mortgage)" prompt="Please enter a valid date (e.g., 5/4/2026)" sqref="E25" xr:uid="{7F9B15EE-805C-624E-91F2-9EE5908FEB8A}">
      <formula1>1</formula1>
      <formula2>73415</formula2>
    </dataValidation>
    <dataValidation type="date" allowBlank="1" showInputMessage="1" showErrorMessage="1" errorTitle="Invalid Date" error="Please enter a valid date format." promptTitle="As-Of Date (Boost Savings)" prompt="Please enter a valid date (e.g., 5/4/2026)" sqref="E29" xr:uid="{9F0D187E-AECB-354E-B9D0-BBAA1D17C71F}">
      <formula1>1</formula1>
      <formula2>73415</formula2>
    </dataValidation>
    <dataValidation type="date" allowBlank="1" showInputMessage="1" showErrorMessage="1" errorTitle="Invalid Date" error="Please enter a valid date format." promptTitle="Predicted Pay Drop Date" prompt="Please enter a valid date (e.g., 5/4/2026)" sqref="F19" xr:uid="{445E3649-2EF6-1244-A502-5986D5BA3DC7}">
      <formula1>1</formula1>
      <formula2>73415</formula2>
    </dataValidation>
    <dataValidation type="date" allowBlank="1" showInputMessage="1" showErrorMessage="1" errorTitle="Invalid Date" error="Please enter a valid date format." promptTitle="CM 1 Due On" prompt="Please enter a valid date (e.g., 5/4/2026)" sqref="F21" xr:uid="{F6374D57-9877-D84B-A7A4-1D340524520C}">
      <formula1>1</formula1>
      <formula2>73415</formula2>
    </dataValidation>
    <dataValidation type="date" allowBlank="1" showInputMessage="1" showErrorMessage="1" errorTitle="Invalid Date" error="Please enter a valid date format." promptTitle="CM 2 Due On" prompt="Please enter a valid date (e.g., 5/4/2026)" sqref="F23" xr:uid="{20D8721C-CF38-E64D-8EFB-354FA49959E5}">
      <formula1>1</formula1>
      <formula2>73415</formula2>
    </dataValidation>
    <dataValidation type="decimal" allowBlank="1" showInputMessage="1" showErrorMessage="1" errorTitle="Invalid Amount" error="Please enter a valid dollar amount." promptTitle="Bank Amount" prompt="Please enter a dollar amount (e.g., 100.00, 250.50)" sqref="G2" xr:uid="{092CE826-655A-6846-8640-3ECBD514D949}">
      <formula1>0</formula1>
      <formula2>999999999.99</formula2>
    </dataValidation>
    <dataValidation type="date" allowBlank="1" showInputMessage="1" showErrorMessage="1" errorTitle="Invalid Date" error="Please enter a valid date format." promptTitle="HOA As-Of Date" prompt="Please enter a valid date (e.g., 5/4/2026)" sqref="E26" xr:uid="{D88F751C-C1C5-1447-B3FC-0DDF32987D38}">
      <formula1>1</formula1>
      <formula2>73415</formula2>
    </dataValidation>
    <dataValidation type="date" allowBlank="1" showInputMessage="1" showErrorMessage="1" errorTitle="Invalid Date" error="Please enter a valid date format." promptTitle="Vacation Savings As-Of Date" prompt="Please enter a valid date (e.g., 5/4/2026)" sqref="E27" xr:uid="{2B6E4F52-F607-7849-AEE9-FBE9DE40A560}">
      <formula1>1</formula1>
      <formula2>73415</formula2>
    </dataValidation>
    <dataValidation type="date" allowBlank="1" showInputMessage="1" showErrorMessage="1" errorTitle="Invalid Date" error="Please enter a valid date format." promptTitle="Emergency Savings As-Of Date" prompt="Please enter a valid date (e.g., 5/4/2026)" sqref="E28" xr:uid="{4F21D987-6066-9943-B4CE-1CE92B09D0EE}">
      <formula1>1</formula1>
      <formula2>73415</formula2>
    </dataValidation>
    <dataValidation type="decimal" allowBlank="1" showInputMessage="1" showErrorMessage="1" errorTitle="Invalid Amount" error="Please enter a valid dollar amount." promptTitle="Savings Balance" prompt="Please enter a dollar amount (e.g., 100.00, 250.50)" sqref="C3:C10" xr:uid="{04DC61CC-20BC-7C47-91BB-CF0E0D2EFBA0}">
      <formula1>0</formula1>
      <formula2>999999999.99</formula2>
    </dataValidation>
    <dataValidation type="decimal" allowBlank="1" showInputMessage="1" showErrorMessage="1" errorTitle="Invalid Amount" error="Please enter a valid dollar amount." promptTitle="Power Amount" prompt="Please enter a dollar amount (e.g., 100.00, 250.50)" sqref="D3:D5" xr:uid="{E33DAC1B-DC8C-ED4F-A043-40499074E2DF}">
      <formula1>0</formula1>
      <formula2>999999999.99</formula2>
    </dataValidation>
    <dataValidation type="decimal" allowBlank="1" showInputMessage="1" showErrorMessage="1" errorTitle="Invalid Amount" error="Please enter a valid dollar amount." promptTitle="Water Amount" prompt="Please enter a dollar amount (e.g., 100.00, 250.50)" sqref="E4:E5" xr:uid="{6385CA2A-90F8-BF4F-8726-40FB3E8083C6}">
      <formula1>0</formula1>
      <formula2>999999999.99</formula2>
    </dataValidation>
    <dataValidation type="decimal" allowBlank="1" showInputMessage="1" showErrorMessage="1" errorTitle="Invalid Amount" error="Please enter a valid dollar amount." promptTitle="Debt Amount" prompt="Please enter a dollar amount (e.g., 100.00, 250.50)" sqref="B13:B15" xr:uid="{351E97BA-1885-6540-90E2-0E2556D5428F}">
      <formula1>0</formula1>
      <formula2>999999999.99</formula2>
    </dataValidation>
    <dataValidation type="decimal" allowBlank="1" showInputMessage="1" showErrorMessage="1" errorTitle="Invalid Amount" error="Please enter a valid dollar amount." promptTitle="Minimum Payment" prompt="Please enter a dollar amount (e.g., 100.00, 250.50)" sqref="C13:C15" xr:uid="{771F17F6-5CF3-764E-B272-86B3732C43A6}">
      <formula1>0</formula1>
      <formula2>999999999.99</formula2>
    </dataValidation>
    <dataValidation type="decimal" allowBlank="1" showInputMessage="1" showErrorMessage="1" errorTitle="Invalid Amount" error="Please enter a valid dollar amount." promptTitle="Left 2 Go" prompt="Please enter a dollar amount (e.g., 100.00, 250.50)" sqref="D13:D15" xr:uid="{AE461F65-120C-C345-8459-89C9BB09BD41}">
      <formula1>0</formula1>
      <formula2>999999999.99</formula2>
    </dataValidation>
    <dataValidation type="decimal" allowBlank="1" showInputMessage="1" showErrorMessage="1" errorTitle="Invalid Amount" error="Please enter a valid dollar amount." promptTitle="Next Attack Amount" prompt="Please enter a dollar amount (e.g., 100.00, 250.50)" sqref="E13:E15" xr:uid="{0069F0C6-E4A6-D14E-AFBF-52C7887ACD3B}">
      <formula1>0</formula1>
      <formula2>999999999.99</formula2>
    </dataValidation>
    <dataValidation type="decimal" allowBlank="1" showInputMessage="1" showErrorMessage="1" errorTitle="Invalid Amount" error="Please enter a valid dollar amount." promptTitle="Remaining After Attack" prompt="Please enter a dollar amount (e.g., 100.00, 250.50)" sqref="F13:F15" xr:uid="{E60786F5-4666-3644-817A-044B60A0FD44}">
      <formula1>0</formula1>
      <formula2>999999999.99</formula2>
    </dataValidation>
    <dataValidation type="decimal" allowBlank="1" showInputMessage="1" showErrorMessage="1" errorTitle="Invalid Amount" error="Please enter a valid dollar amount." promptTitle="Payment Amount" prompt="Please enter a dollar amount (e.g., 100.00, 250.50)" sqref="I13:I15" xr:uid="{6BAC151E-A408-FC45-827B-DA5F226CA5FE}">
      <formula1>0</formula1>
      <formula2>999999999.99</formula2>
    </dataValidation>
    <dataValidation type="decimal" allowBlank="1" showInputMessage="1" showErrorMessage="1" errorTitle="Invalid Amount" error="Please enter a valid dollar amount." promptTitle="Last Statement Balance" prompt="Please enter a dollar amount (e.g., 100.00, 250.50)" sqref="J13:J15" xr:uid="{7B5C52C0-D156-EE4A-B1C3-2B3D6CF86CAE}">
      <formula1>0</formula1>
      <formula2>999999999.99</formula2>
    </dataValidation>
    <dataValidation type="decimal" allowBlank="1" showInputMessage="1" showErrorMessage="1" errorTitle="Invalid Amount" error="Please enter a valid dollar amount." promptTitle="Next Minimum" prompt="Please enter a dollar amount (e.g., 100.00, 250.50)" sqref="L13:L15" xr:uid="{286008C8-7A35-FE44-875D-137AB7724D6D}">
      <formula1>0</formula1>
      <formula2>999999999.99</formula2>
    </dataValidation>
    <dataValidation type="decimal" allowBlank="1" showInputMessage="1" showErrorMessage="1" errorTitle="Invalid Amount" error="Please enter a valid dollar amount." promptTitle="Tank Amount" prompt="Please enter a dollar amount (e.g., 100.00, 250.50)" sqref="D25:D29" xr:uid="{DCEE984F-F387-8F43-B4D2-7C222E9FA32E}">
      <formula1>0</formula1>
      <formula2>999999999.99</formula2>
    </dataValidation>
    <dataValidation type="decimal" allowBlank="1" showInputMessage="1" showErrorMessage="1" errorTitle="Invalid Amount" error="Please enter a valid dollar amount." promptTitle="Monthly Minimum" prompt="Please enter a dollar amount (e.g., 100.00, 250.50)" sqref="J20:J22" xr:uid="{32B0A9CD-D726-F24B-90D9-1712FC70AB38}">
      <formula1>0</formula1>
      <formula2>999999999.99</formula2>
    </dataValidation>
    <dataValidation type="decimal" allowBlank="1" showInputMessage="1" showErrorMessage="1" errorTitle="Invalid Amount" error="Please enter a valid dollar amount." promptTitle="2 Week Spending" prompt="Please enter a dollar amount (e.g., 100.00, 250.50)" sqref="M35:M48" xr:uid="{F6775EA3-3841-964B-A2C9-51770973A55B}">
      <formula1>0</formula1>
      <formula2>999999999.99</formula2>
    </dataValidation>
    <dataValidation type="decimal" allowBlank="1" showInputMessage="1" showErrorMessage="1" errorTitle="Invalid Amount" error="Please enter a valid dollar amount." promptTitle="Holding Tank" prompt="Please enter a dollar amount (e.g., 100.00, 250.50)" sqref="E11" xr:uid="{E15B848F-7BE5-AD4D-8EA3-DF0181E63A81}">
      <formula1>0</formula1>
      <formula2>999999999.99</formula2>
    </dataValidation>
    <dataValidation type="decimal" allowBlank="1" showInputMessage="1" showErrorMessage="1" errorTitle="Invalid Amount" error="Please enter a valid dollar amount." promptTitle="Decrease Amount" prompt="Please enter a dollar amount (e.g., 100.00, 250.50)" sqref="D18" xr:uid="{503BA0B3-FC97-E342-B416-C46429D9BB19}">
      <formula1>0</formula1>
      <formula2>999999999.99</formula2>
    </dataValidation>
    <dataValidation type="decimal" allowBlank="1" showInputMessage="1" showErrorMessage="1" errorTitle="Invalid Amount" error="Please enter a valid dollar amount." promptTitle="Total Amount" prompt="Please enter a dollar amount (e.g., 100.00, 250.50)" sqref="H25:H29" xr:uid="{4C020DF3-0044-6B4E-B44E-AA614A3D44BD}">
      <formula1>0</formula1>
      <formula2>999999999.99</formula2>
    </dataValidation>
    <dataValidation type="decimal" allowBlank="1" showInputMessage="1" showErrorMessage="1" errorTitle="Invalid Amount" error="Please enter a valid dollar amount." promptTitle="Tank Total" prompt="Please enter a dollar amount (e.g., 100.00, 250.50)" sqref="D30" xr:uid="{EB99C4F6-A363-7C40-A9E9-F2C68CD7797D}">
      <formula1>0</formula1>
      <formula2>999999999.99</formula2>
    </dataValidation>
    <dataValidation type="decimal" allowBlank="1" showInputMessage="1" showErrorMessage="1" errorTitle="Invalid Amount" error="Please enter a valid dollar amount." promptTitle="CM Total After Full Attack" prompt="Please enter a dollar amount (e.g., 100.00, 250.50)" sqref="J4" xr:uid="{0A6AAE44-CEA8-144B-AB2F-07206831F561}">
      <formula1>0</formula1>
      <formula2>999999999.99</formula2>
    </dataValidation>
    <dataValidation type="decimal" allowBlank="1" showInputMessage="1" showErrorMessage="1" errorTitle="Invalid Amount" error="Please enter a valid dollar amount." promptTitle="Amount" prompt="Please enter a dollar amount (e.g., 100.00, 250.50)" sqref="I3:I4 G3:G4" xr:uid="{3434CA11-B4B5-F842-9DEE-B9AE2C83E338}">
      <formula1>0</formula1>
      <formula2>999999999.99</formula2>
    </dataValidation>
    <dataValidation type="decimal" allowBlank="1" showInputMessage="1" showErrorMessage="1" errorTitle="Invalid Amount" error="Please enter a valid dollar amount." promptTitle="Current POR" prompt="Please enter a dollar amount (e.g., 100.00, 250.50)" sqref="I26" xr:uid="{79DBCC11-2E7B-524E-ADB7-9AF1D52645FD}">
      <formula1>0</formula1>
      <formula2>999999999.99</formula2>
    </dataValidation>
    <dataValidation type="decimal" allowBlank="1" showInputMessage="1" showErrorMessage="1" errorTitle="Invalid Amount" error="Please enter a valid dollar amount." promptTitle="All In POR" prompt="Please enter a dollar amount (e.g., 100.00, 250.50)" sqref="J26" xr:uid="{CF78B612-016B-DE4B-BF60-EDF66C5A6429}">
      <formula1>0</formula1>
      <formula2>999999999.99</formula2>
    </dataValidation>
    <dataValidation type="decimal" allowBlank="1" showInputMessage="1" showErrorMessage="1" errorTitle="Invalid Amount" error="Please enter a valid dollar amount." promptTitle="Target All-In POR (ROI)" prompt="Please enter a dollar amount (e.g., 100.00, 250.50)" sqref="K26" xr:uid="{5EDB90BD-F221-AA43-9557-DB7F094BD568}">
      <formula1>0</formula1>
      <formula2>999999999.99</formula2>
    </dataValidation>
    <dataValidation type="decimal" allowBlank="1" showInputMessage="1" showErrorMessage="1" errorTitle="Invalid Amount" error="Please enter a valid dollar amount." promptTitle="Status Amount" prompt="Please enter a dollar amount (e.g., 100.00, 250.50)" sqref="L20:L22" xr:uid="{BA49962A-ED1A-484B-90D9-11DC115BAE55}">
      <formula1>0</formula1>
      <formula2>999999999.99</formula2>
    </dataValidation>
    <dataValidation type="decimal" allowBlank="1" showInputMessage="1" showErrorMessage="1" errorTitle="Invalid Amount" error="Please enter a valid dollar amount." promptTitle="Available Amount" prompt="Please enter a dollar amount (e.g., 100.00, 250.50)" sqref="J23" xr:uid="{E948AC32-8BDA-A247-9194-E7061DA8AB0E}">
      <formula1>0</formula1>
      <formula2>999999999.99</formula2>
    </dataValidation>
    <dataValidation type="decimal" allowBlank="1" showInputMessage="1" showErrorMessage="1" errorTitle="Invalid Amount" error="Please enter a valid dollar amount." promptTitle="Monthly Minimum Status" prompt="Please enter a dollar amount (e.g., 100.00, 250.50)" sqref="L23" xr:uid="{156268F1-6A8C-7041-8A11-92E156C7B41F}">
      <formula1>0</formula1>
      <formula2>999999999.99</formula2>
    </dataValidation>
    <dataValidation type="decimal" allowBlank="1" showInputMessage="1" showErrorMessage="1" errorTitle="Invalid Amount" error="Please enter a valid dollar amount." promptTitle="Total" prompt="Please enter a dollar amount (e.g., 100.00, 250.50)" sqref="C50:M50" xr:uid="{9DFD7696-0A1F-9044-B603-6D89D6ED2136}">
      <formula1>0</formula1>
      <formula2>999999999.99</formula2>
    </dataValidation>
    <dataValidation type="decimal" allowBlank="1" showInputMessage="1" showErrorMessage="1" errorTitle="Invalid Amount" error="Please enter a valid dollar amount." promptTitle="Use Amount" prompt="Please enter a dollar amount (e.g., 100.00, 250.50)" sqref="F3:F4" xr:uid="{416CBC7D-C44C-DD46-BE90-9D72426DF971}">
      <formula1>0</formula1>
      <formula2>999999999.99</formula2>
    </dataValidation>
    <dataValidation type="decimal" allowBlank="1" showInputMessage="1" showErrorMessage="1" errorTitle="Invalid Amount" error="Please enter a valid dollar amount." promptTitle="Dollar Amount" prompt="Please enter a dollar amount (e.g., 100.00, 250.50)" sqref="B17:B28" xr:uid="{4D60CF85-75C6-1448-A25A-EC8F9834344D}">
      <formula1>0</formula1>
      <formula2>999999999.99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D7F7-4E2E-4C59-8640-33FA123A4EE8}">
  <sheetPr codeName="Sheet11"/>
  <dimension ref="A1:W51"/>
  <sheetViews>
    <sheetView zoomScale="70" zoomScaleNormal="70" workbookViewId="0">
      <selection activeCell="B30" sqref="A1:XFD1048576"/>
    </sheetView>
  </sheetViews>
  <sheetFormatPr baseColWidth="10" defaultColWidth="8.83203125" defaultRowHeight="15" x14ac:dyDescent="0.2"/>
  <cols>
    <col min="1" max="1" width="15.1640625" bestFit="1" customWidth="1"/>
    <col min="2" max="3" width="26.5" bestFit="1" customWidth="1"/>
    <col min="4" max="4" width="13.83203125" bestFit="1" customWidth="1"/>
    <col min="5" max="5" width="20.5" bestFit="1" customWidth="1"/>
    <col min="6" max="6" width="27.5" bestFit="1" customWidth="1"/>
    <col min="7" max="7" width="20.5" bestFit="1" customWidth="1"/>
    <col min="8" max="8" width="15.5" bestFit="1" customWidth="1"/>
    <col min="9" max="9" width="23.5" bestFit="1" customWidth="1"/>
    <col min="10" max="10" width="24.5" style="3" bestFit="1" customWidth="1"/>
    <col min="11" max="11" width="23.5" bestFit="1" customWidth="1"/>
    <col min="12" max="12" width="24.5" bestFit="1" customWidth="1"/>
    <col min="13" max="13" width="35.83203125" bestFit="1" customWidth="1"/>
    <col min="14" max="14" width="21" bestFit="1" customWidth="1"/>
    <col min="15" max="15" width="25.5" bestFit="1" customWidth="1"/>
    <col min="16" max="16" width="26.1640625" bestFit="1" customWidth="1"/>
    <col min="17" max="17" width="23.5" bestFit="1" customWidth="1"/>
    <col min="18" max="18" width="15.5" bestFit="1" customWidth="1"/>
    <col min="19" max="20" width="11.5" bestFit="1" customWidth="1"/>
    <col min="21" max="21" width="24.5" bestFit="1" customWidth="1"/>
    <col min="22" max="22" width="16.1640625" bestFit="1" customWidth="1"/>
    <col min="23" max="23" width="14.5" bestFit="1" customWidth="1"/>
  </cols>
  <sheetData>
    <row r="1" spans="1:17" x14ac:dyDescent="0.2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2" t="s">
        <v>7</v>
      </c>
    </row>
    <row r="2" spans="1:17" ht="16" thickBot="1" x14ac:dyDescent="0.25">
      <c r="A2" s="1"/>
      <c r="B2" s="4" t="s">
        <v>87</v>
      </c>
      <c r="C2" s="4">
        <v>45530</v>
      </c>
      <c r="D2" s="5">
        <v>0.33888888888888891</v>
      </c>
      <c r="E2" s="6"/>
      <c r="F2" s="7">
        <v>0</v>
      </c>
      <c r="G2" s="8">
        <f>C3</f>
        <v>0</v>
      </c>
      <c r="H2" s="6">
        <v>0</v>
      </c>
      <c r="I2" s="6">
        <f>E2+G2</f>
        <v>0</v>
      </c>
      <c r="J2" s="9"/>
      <c r="K2" s="6"/>
      <c r="L2" s="6"/>
      <c r="M2" s="6"/>
      <c r="N2" s="6"/>
      <c r="O2" s="6"/>
      <c r="P2" s="6"/>
    </row>
    <row r="3" spans="1:17" ht="33" thickBot="1" x14ac:dyDescent="0.25">
      <c r="A3" s="1"/>
      <c r="B3" s="10" t="s">
        <v>9</v>
      </c>
      <c r="C3" s="11">
        <f>IF(J23&gt;L23,D3,D3-(L23-J23)+G17)</f>
        <v>0</v>
      </c>
      <c r="D3" s="12">
        <v>0</v>
      </c>
      <c r="F3" s="6">
        <f>-F2+500</f>
        <v>500</v>
      </c>
      <c r="G3" s="6">
        <f>E2</f>
        <v>0</v>
      </c>
      <c r="I3" s="6">
        <f>F2+C9</f>
        <v>0</v>
      </c>
      <c r="J3" s="13" t="s">
        <v>10</v>
      </c>
      <c r="K3" s="14"/>
      <c r="Q3" s="2" t="s">
        <v>11</v>
      </c>
    </row>
    <row r="4" spans="1:17" x14ac:dyDescent="0.2">
      <c r="A4" s="1"/>
      <c r="B4" t="s">
        <v>12</v>
      </c>
      <c r="C4" s="6">
        <v>0</v>
      </c>
      <c r="D4" s="15" t="s">
        <v>13</v>
      </c>
      <c r="E4" s="15" t="s">
        <v>14</v>
      </c>
      <c r="F4" s="16">
        <f>F3+F2</f>
        <v>500</v>
      </c>
      <c r="G4" s="16">
        <f>G2+G3</f>
        <v>0</v>
      </c>
      <c r="I4" s="17">
        <f>SUM(I2:I3)</f>
        <v>0</v>
      </c>
      <c r="J4" s="18">
        <f>B12+I4+G17</f>
        <v>0</v>
      </c>
      <c r="K4" s="10" t="str">
        <f>IF(J4&gt;=0, "Fuel Up", "Left Over Debt")</f>
        <v>Fuel Up</v>
      </c>
      <c r="M4" s="19" t="str">
        <f>IF(M5 ="&lt;---------------------&gt;","MAXED OUT","")</f>
        <v/>
      </c>
      <c r="N4" s="20" t="s">
        <v>15</v>
      </c>
      <c r="O4" s="21"/>
      <c r="P4" s="15" t="s">
        <v>16</v>
      </c>
      <c r="Q4" s="14">
        <f>H$11</f>
        <v>45530</v>
      </c>
    </row>
    <row r="5" spans="1:17" x14ac:dyDescent="0.2">
      <c r="A5" s="1"/>
      <c r="B5" t="s">
        <v>17</v>
      </c>
      <c r="C5" s="6">
        <f>SUM(D5:E5)-E11</f>
        <v>0</v>
      </c>
      <c r="D5" s="22">
        <v>0</v>
      </c>
      <c r="E5" s="22">
        <v>0</v>
      </c>
      <c r="F5" s="10" t="s">
        <v>18</v>
      </c>
      <c r="G5" s="6"/>
      <c r="I5" s="23"/>
      <c r="J5" s="24"/>
      <c r="M5" s="19" t="str">
        <f t="shared" ref="M5:M29" si="0">IF(B$12&lt;O5, "&lt;---------------------&gt;", "")</f>
        <v/>
      </c>
      <c r="N5" s="25"/>
      <c r="O5" s="10">
        <v>-7500</v>
      </c>
      <c r="P5" s="26" t="str">
        <f>IF(J$4&lt;O5, "&lt;", "")</f>
        <v/>
      </c>
    </row>
    <row r="6" spans="1:17" x14ac:dyDescent="0.2">
      <c r="A6" s="1"/>
      <c r="B6" t="s">
        <v>19</v>
      </c>
      <c r="C6" s="6">
        <f>SUM(D6:E6)</f>
        <v>0</v>
      </c>
      <c r="D6" s="22">
        <v>0</v>
      </c>
      <c r="E6" s="22">
        <f t="shared" ref="E6" si="1">0-F6</f>
        <v>0</v>
      </c>
      <c r="F6" s="22">
        <v>0</v>
      </c>
      <c r="J6" s="9"/>
      <c r="K6" s="14"/>
      <c r="M6" s="19" t="str">
        <f t="shared" si="0"/>
        <v/>
      </c>
      <c r="N6" s="25"/>
      <c r="O6" s="10">
        <v>-7200</v>
      </c>
      <c r="P6" s="26" t="str">
        <f t="shared" ref="P6:P28" si="2">IF(J$4&lt;O6, "&lt;", "")</f>
        <v/>
      </c>
    </row>
    <row r="7" spans="1:17" x14ac:dyDescent="0.2">
      <c r="A7" s="1"/>
      <c r="B7" t="s">
        <v>20</v>
      </c>
      <c r="C7" s="6">
        <f>SUM(D7:E7)</f>
        <v>0</v>
      </c>
      <c r="D7" s="22">
        <f>0+D28</f>
        <v>0</v>
      </c>
      <c r="E7" s="22">
        <f>0-F7</f>
        <v>0</v>
      </c>
      <c r="F7" s="22">
        <v>0</v>
      </c>
      <c r="J7" s="9"/>
      <c r="M7" s="19" t="str">
        <f t="shared" si="0"/>
        <v/>
      </c>
      <c r="N7" s="25"/>
      <c r="O7" s="10">
        <v>-6900</v>
      </c>
      <c r="P7" s="26" t="str">
        <f t="shared" si="2"/>
        <v/>
      </c>
    </row>
    <row r="8" spans="1:17" x14ac:dyDescent="0.2">
      <c r="A8" s="1"/>
      <c r="B8" t="s">
        <v>21</v>
      </c>
      <c r="C8" s="6">
        <f>SUM(D8:E8)</f>
        <v>0</v>
      </c>
      <c r="D8" s="22">
        <f>0+D29</f>
        <v>0</v>
      </c>
      <c r="E8" s="22">
        <f>0-F8</f>
        <v>0</v>
      </c>
      <c r="F8" s="22">
        <v>0</v>
      </c>
      <c r="J8" s="9"/>
      <c r="M8" s="19" t="str">
        <f t="shared" si="0"/>
        <v/>
      </c>
      <c r="N8" s="25"/>
      <c r="O8" s="10">
        <v>-6600</v>
      </c>
      <c r="P8" s="26" t="str">
        <f t="shared" si="2"/>
        <v/>
      </c>
    </row>
    <row r="9" spans="1:17" ht="44.25" customHeight="1" x14ac:dyDescent="0.2">
      <c r="A9" s="1"/>
      <c r="B9" s="34" t="s">
        <v>22</v>
      </c>
      <c r="C9" s="81">
        <f>SUM(D9:E9)</f>
        <v>0</v>
      </c>
      <c r="D9" s="22">
        <v>0</v>
      </c>
      <c r="E9" s="22">
        <f>0-F9</f>
        <v>0</v>
      </c>
      <c r="F9" s="22">
        <v>0</v>
      </c>
      <c r="G9" s="6"/>
      <c r="J9" s="9"/>
      <c r="M9" s="19" t="str">
        <f t="shared" si="0"/>
        <v/>
      </c>
      <c r="N9" s="25"/>
      <c r="O9" s="10">
        <v>-6300</v>
      </c>
      <c r="P9" s="26" t="str">
        <f>IF(J$4&lt;O9, "&lt;", "")</f>
        <v/>
      </c>
    </row>
    <row r="10" spans="1:17" ht="32" x14ac:dyDescent="0.2">
      <c r="B10" t="s">
        <v>23</v>
      </c>
      <c r="C10" s="6">
        <f>C3</f>
        <v>0</v>
      </c>
      <c r="D10" s="22"/>
      <c r="E10" s="22"/>
      <c r="F10" s="6"/>
      <c r="H10" s="27" t="s">
        <v>24</v>
      </c>
      <c r="J10" s="9"/>
      <c r="M10" s="19" t="str">
        <f t="shared" si="0"/>
        <v/>
      </c>
      <c r="N10" s="25"/>
      <c r="O10" s="10">
        <v>-6000</v>
      </c>
      <c r="P10" s="26" t="str">
        <f>IF(J$4&lt;O10, "&lt;", "")</f>
        <v/>
      </c>
    </row>
    <row r="11" spans="1:17" ht="16" x14ac:dyDescent="0.2">
      <c r="A11" t="s">
        <v>25</v>
      </c>
      <c r="B11" s="28" t="s">
        <v>26</v>
      </c>
      <c r="C11" s="6"/>
      <c r="D11" t="s">
        <v>27</v>
      </c>
      <c r="E11" s="6">
        <f>F6+F7+F8+F9+D27</f>
        <v>0</v>
      </c>
      <c r="H11" s="29">
        <v>45530</v>
      </c>
      <c r="M11" s="19" t="str">
        <f t="shared" si="0"/>
        <v/>
      </c>
      <c r="N11" s="25"/>
      <c r="O11" s="10">
        <v>-5700</v>
      </c>
      <c r="P11" s="26" t="str">
        <f t="shared" si="2"/>
        <v/>
      </c>
      <c r="Q11" s="30"/>
    </row>
    <row r="12" spans="1:17" ht="16" x14ac:dyDescent="0.2">
      <c r="A12" s="10" t="s">
        <v>28</v>
      </c>
      <c r="B12" s="31">
        <f>-B15</f>
        <v>0</v>
      </c>
      <c r="C12" s="10" t="s">
        <v>29</v>
      </c>
      <c r="D12" s="32" t="s">
        <v>30</v>
      </c>
      <c r="E12" s="10" t="s">
        <v>31</v>
      </c>
      <c r="F12" s="13" t="s">
        <v>32</v>
      </c>
      <c r="G12" s="10" t="s">
        <v>33</v>
      </c>
      <c r="H12" s="10" t="s">
        <v>34</v>
      </c>
      <c r="I12" s="10" t="s">
        <v>35</v>
      </c>
      <c r="J12" s="10" t="s">
        <v>36</v>
      </c>
      <c r="K12" s="10" t="s">
        <v>37</v>
      </c>
      <c r="L12" s="10" t="s">
        <v>38</v>
      </c>
      <c r="M12" s="19" t="str">
        <f t="shared" si="0"/>
        <v/>
      </c>
      <c r="N12" s="33"/>
      <c r="O12" s="10">
        <v>-5400</v>
      </c>
      <c r="P12" s="26" t="str">
        <f t="shared" si="2"/>
        <v/>
      </c>
      <c r="Q12" s="30"/>
    </row>
    <row r="13" spans="1:17" x14ac:dyDescent="0.2">
      <c r="A13" s="34" t="s">
        <v>39</v>
      </c>
      <c r="B13" s="22">
        <v>0</v>
      </c>
      <c r="C13" s="35">
        <v>0</v>
      </c>
      <c r="D13" s="22">
        <f>B13-C13</f>
        <v>0</v>
      </c>
      <c r="E13" s="36">
        <f>I13</f>
        <v>0</v>
      </c>
      <c r="F13" s="22">
        <f>B13-E13</f>
        <v>0</v>
      </c>
      <c r="G13" s="37">
        <f>H13-C2</f>
        <v>0</v>
      </c>
      <c r="H13" s="38">
        <f>H$11</f>
        <v>45530</v>
      </c>
      <c r="I13" s="22">
        <v>0</v>
      </c>
      <c r="J13" s="24">
        <f>B13</f>
        <v>0</v>
      </c>
      <c r="K13" s="10" t="s">
        <v>40</v>
      </c>
      <c r="L13" s="22">
        <f>C13</f>
        <v>0</v>
      </c>
      <c r="M13" s="19" t="str">
        <f t="shared" si="0"/>
        <v/>
      </c>
      <c r="N13" s="33"/>
      <c r="O13" s="10">
        <v>-5100</v>
      </c>
      <c r="P13" s="26" t="str">
        <f t="shared" si="2"/>
        <v/>
      </c>
      <c r="Q13" s="30"/>
    </row>
    <row r="14" spans="1:17" x14ac:dyDescent="0.2">
      <c r="A14" s="34" t="s">
        <v>41</v>
      </c>
      <c r="B14" s="22">
        <v>0</v>
      </c>
      <c r="C14" s="35">
        <v>0</v>
      </c>
      <c r="D14" s="22">
        <f>B14-C14</f>
        <v>0</v>
      </c>
      <c r="E14" s="36">
        <f>I14</f>
        <v>0</v>
      </c>
      <c r="F14" s="22">
        <f>B14-E14</f>
        <v>0</v>
      </c>
      <c r="G14" s="37">
        <f>H14-C2</f>
        <v>14</v>
      </c>
      <c r="H14" s="38">
        <f>F21</f>
        <v>45544</v>
      </c>
      <c r="I14" s="22">
        <v>0</v>
      </c>
      <c r="J14" s="24">
        <f>B14-0</f>
        <v>0</v>
      </c>
      <c r="K14" s="10" t="s">
        <v>40</v>
      </c>
      <c r="L14" s="22">
        <f>C14</f>
        <v>0</v>
      </c>
      <c r="M14" s="19" t="str">
        <f t="shared" si="0"/>
        <v/>
      </c>
      <c r="N14" s="33"/>
      <c r="O14" s="10">
        <v>-4800</v>
      </c>
      <c r="P14" s="26" t="str">
        <f t="shared" si="2"/>
        <v/>
      </c>
      <c r="Q14" s="30"/>
    </row>
    <row r="15" spans="1:17" x14ac:dyDescent="0.2">
      <c r="A15" s="34" t="s">
        <v>42</v>
      </c>
      <c r="B15" s="39">
        <f>SUM(B13:B14)</f>
        <v>0</v>
      </c>
      <c r="C15" s="35">
        <f>SUM(C13:C14)</f>
        <v>0</v>
      </c>
      <c r="D15" s="22">
        <f>SUM(D13:D14)</f>
        <v>0</v>
      </c>
      <c r="E15" s="36">
        <f>SUM(E13:E14)</f>
        <v>0</v>
      </c>
      <c r="F15" s="40">
        <f>SUM(F13:F14)</f>
        <v>0</v>
      </c>
      <c r="G15" s="37"/>
      <c r="H15" s="10" t="s">
        <v>43</v>
      </c>
      <c r="I15" s="41">
        <f>SUM(I13:I14)</f>
        <v>0</v>
      </c>
      <c r="J15" s="24">
        <f>SUM(J13:J14)</f>
        <v>0</v>
      </c>
      <c r="K15" s="10" t="s">
        <v>40</v>
      </c>
      <c r="L15" s="22">
        <f>SUM(L13:L14)</f>
        <v>0</v>
      </c>
      <c r="M15" s="19" t="str">
        <f t="shared" si="0"/>
        <v/>
      </c>
      <c r="N15" s="33"/>
      <c r="O15" s="10">
        <v>-4500</v>
      </c>
      <c r="P15" s="26" t="str">
        <f t="shared" si="2"/>
        <v/>
      </c>
      <c r="Q15" s="30"/>
    </row>
    <row r="16" spans="1:17" x14ac:dyDescent="0.2">
      <c r="B16" s="42"/>
      <c r="E16" s="43" t="s">
        <v>44</v>
      </c>
      <c r="J16" s="44"/>
      <c r="K16" s="45"/>
      <c r="M16" s="19" t="str">
        <f t="shared" si="0"/>
        <v/>
      </c>
      <c r="N16" s="33"/>
      <c r="O16" s="10">
        <v>-4200</v>
      </c>
      <c r="P16" s="26" t="str">
        <f t="shared" si="2"/>
        <v/>
      </c>
      <c r="Q16" s="30"/>
    </row>
    <row r="17" spans="1:23" x14ac:dyDescent="0.2">
      <c r="A17" s="2" t="s">
        <v>45</v>
      </c>
      <c r="B17" s="46"/>
      <c r="C17" s="10" t="s">
        <v>46</v>
      </c>
      <c r="D17" s="47"/>
      <c r="F17" s="48" t="s">
        <v>47</v>
      </c>
      <c r="G17" s="49"/>
      <c r="H17" s="10"/>
      <c r="J17" s="44"/>
      <c r="K17" s="50"/>
      <c r="M17" s="19" t="str">
        <f t="shared" si="0"/>
        <v/>
      </c>
      <c r="N17" s="33"/>
      <c r="O17" s="10">
        <v>-3900</v>
      </c>
      <c r="P17" s="26" t="str">
        <f t="shared" si="2"/>
        <v/>
      </c>
      <c r="Q17" s="30"/>
    </row>
    <row r="18" spans="1:23" x14ac:dyDescent="0.2">
      <c r="A18">
        <v>1</v>
      </c>
      <c r="B18" s="46"/>
      <c r="C18" s="15" t="str">
        <f>IF(B28&gt;B17,"Increase","Decrease")</f>
        <v>Decrease</v>
      </c>
      <c r="D18" s="51">
        <f>B28-B17</f>
        <v>0</v>
      </c>
      <c r="E18" s="43"/>
      <c r="F18" t="s">
        <v>48</v>
      </c>
      <c r="G18" s="15" t="s">
        <v>49</v>
      </c>
      <c r="H18" s="15"/>
      <c r="M18" s="19" t="str">
        <f t="shared" si="0"/>
        <v/>
      </c>
      <c r="N18" s="33"/>
      <c r="O18" s="10">
        <v>-3600</v>
      </c>
      <c r="P18" s="26" t="str">
        <f t="shared" si="2"/>
        <v/>
      </c>
      <c r="Q18" s="30"/>
    </row>
    <row r="19" spans="1:23" x14ac:dyDescent="0.2">
      <c r="A19">
        <v>2</v>
      </c>
      <c r="B19" s="46"/>
      <c r="D19" s="10"/>
      <c r="E19" t="s">
        <v>50</v>
      </c>
      <c r="F19" s="52">
        <f>H11</f>
        <v>45530</v>
      </c>
      <c r="G19" s="10">
        <f>F19-E23</f>
        <v>0</v>
      </c>
      <c r="H19" s="15" t="s">
        <v>51</v>
      </c>
      <c r="J19" s="15" t="s">
        <v>52</v>
      </c>
      <c r="K19" s="15" t="s">
        <v>53</v>
      </c>
      <c r="L19" s="53" t="s">
        <v>54</v>
      </c>
      <c r="M19" s="19" t="str">
        <f t="shared" si="0"/>
        <v/>
      </c>
      <c r="N19" s="33"/>
      <c r="O19" s="10">
        <v>-3300</v>
      </c>
      <c r="P19" s="26" t="str">
        <f t="shared" si="2"/>
        <v/>
      </c>
      <c r="Q19" s="30"/>
    </row>
    <row r="20" spans="1:23" ht="16" x14ac:dyDescent="0.2">
      <c r="A20">
        <v>3</v>
      </c>
      <c r="B20" s="46"/>
      <c r="D20" s="10"/>
      <c r="E20" s="1"/>
      <c r="F20" s="10">
        <v>14</v>
      </c>
      <c r="G20" s="54" t="s">
        <v>55</v>
      </c>
      <c r="H20" s="55" t="s">
        <v>56</v>
      </c>
      <c r="I20" s="56" t="s">
        <v>57</v>
      </c>
      <c r="J20" s="57">
        <f>I15</f>
        <v>0</v>
      </c>
      <c r="K20" s="54" t="str">
        <f>IF(J20 &gt;=L20, "Paid", "Owed")</f>
        <v>Paid</v>
      </c>
      <c r="L20" s="58">
        <f>L15</f>
        <v>0</v>
      </c>
      <c r="M20" s="19" t="str">
        <f t="shared" si="0"/>
        <v/>
      </c>
      <c r="N20" s="33"/>
      <c r="O20" s="10">
        <v>-3000</v>
      </c>
      <c r="P20" s="26" t="str">
        <f t="shared" si="2"/>
        <v/>
      </c>
      <c r="Q20" s="30"/>
    </row>
    <row r="21" spans="1:23" ht="16" x14ac:dyDescent="0.2">
      <c r="A21">
        <v>4</v>
      </c>
      <c r="B21" s="46"/>
      <c r="D21" s="10"/>
      <c r="E21" s="1"/>
      <c r="F21" s="59">
        <f>SUM(F19:F20)</f>
        <v>45544</v>
      </c>
      <c r="G21" s="54" t="str">
        <f>IMSUB(F23,F21)</f>
        <v>14</v>
      </c>
      <c r="H21" s="55" t="s">
        <v>58</v>
      </c>
      <c r="I21" s="56" t="s">
        <v>59</v>
      </c>
      <c r="J21" s="57">
        <v>0</v>
      </c>
      <c r="K21" s="54" t="str">
        <f>IF(J21 =L21, "Paid", "Owed")</f>
        <v>Paid</v>
      </c>
      <c r="L21" s="58">
        <f>D25</f>
        <v>0</v>
      </c>
      <c r="M21" s="19" t="str">
        <f t="shared" si="0"/>
        <v/>
      </c>
      <c r="N21" s="33"/>
      <c r="O21" s="10">
        <v>-2700</v>
      </c>
      <c r="P21" s="26" t="str">
        <f t="shared" si="2"/>
        <v/>
      </c>
      <c r="Q21" s="30"/>
    </row>
    <row r="22" spans="1:23" ht="16" x14ac:dyDescent="0.2">
      <c r="A22">
        <v>5</v>
      </c>
      <c r="B22" s="46"/>
      <c r="D22" s="10"/>
      <c r="E22" s="1"/>
      <c r="F22" s="10">
        <v>14</v>
      </c>
      <c r="G22" s="54" t="s">
        <v>55</v>
      </c>
      <c r="H22" s="55" t="s">
        <v>56</v>
      </c>
      <c r="I22" s="56" t="s">
        <v>60</v>
      </c>
      <c r="J22" s="57">
        <v>0</v>
      </c>
      <c r="K22" s="54" t="str">
        <f>IF(J22 =L22, "Paid", "Owed")</f>
        <v>Paid</v>
      </c>
      <c r="L22" s="58">
        <f>D26</f>
        <v>0</v>
      </c>
      <c r="M22" s="19" t="str">
        <f t="shared" si="0"/>
        <v/>
      </c>
      <c r="N22" s="60"/>
      <c r="O22" s="10">
        <v>-2400</v>
      </c>
      <c r="P22" s="26" t="str">
        <f t="shared" si="2"/>
        <v/>
      </c>
      <c r="Q22" s="30"/>
    </row>
    <row r="23" spans="1:23" x14ac:dyDescent="0.2">
      <c r="A23">
        <v>6</v>
      </c>
      <c r="B23" s="46"/>
      <c r="D23" s="10"/>
      <c r="E23" s="38">
        <f>C2</f>
        <v>45530</v>
      </c>
      <c r="F23" s="61">
        <f>SUM(F21:F22)</f>
        <v>45558</v>
      </c>
      <c r="G23" s="54" t="str">
        <f>IMSUB(F23,E23)</f>
        <v>28</v>
      </c>
      <c r="H23" s="55" t="s">
        <v>58</v>
      </c>
      <c r="I23" s="57" t="s">
        <v>61</v>
      </c>
      <c r="J23" s="18">
        <f>SUM(J20:J22)</f>
        <v>0</v>
      </c>
      <c r="K23" s="54" t="str">
        <f>IF(J23 =L23, "Paid", "Owed")</f>
        <v>Paid</v>
      </c>
      <c r="L23" s="58">
        <f>SUM(L20:L22)</f>
        <v>0</v>
      </c>
      <c r="M23" s="19" t="str">
        <f t="shared" si="0"/>
        <v/>
      </c>
      <c r="N23" s="60"/>
      <c r="O23" s="10">
        <v>-2100</v>
      </c>
      <c r="P23" s="26" t="str">
        <f t="shared" si="2"/>
        <v/>
      </c>
      <c r="Q23" s="30"/>
    </row>
    <row r="24" spans="1:23" ht="16" thickBot="1" x14ac:dyDescent="0.25">
      <c r="A24">
        <v>7</v>
      </c>
      <c r="B24" s="46"/>
      <c r="C24" s="15" t="s">
        <v>62</v>
      </c>
      <c r="D24" s="10"/>
      <c r="E24" s="6"/>
      <c r="I24" s="62"/>
      <c r="K24" s="15"/>
      <c r="M24" s="19" t="str">
        <f t="shared" si="0"/>
        <v/>
      </c>
      <c r="N24" s="60"/>
      <c r="O24" s="10">
        <v>-1800</v>
      </c>
      <c r="P24" s="26" t="str">
        <f t="shared" si="2"/>
        <v/>
      </c>
      <c r="Q24" s="30"/>
    </row>
    <row r="25" spans="1:23" ht="17" thickTop="1" x14ac:dyDescent="0.2">
      <c r="A25">
        <v>8</v>
      </c>
      <c r="B25" s="46"/>
      <c r="C25" s="2" t="str">
        <f>I21</f>
        <v>Mortgage</v>
      </c>
      <c r="D25" s="62">
        <v>0</v>
      </c>
      <c r="E25" s="4">
        <f>H$11</f>
        <v>45530</v>
      </c>
      <c r="G25" s="13" t="s">
        <v>63</v>
      </c>
      <c r="H25" s="40">
        <f>F2</f>
        <v>0</v>
      </c>
      <c r="I25" s="63" t="s">
        <v>64</v>
      </c>
      <c r="J25" s="63" t="s">
        <v>65</v>
      </c>
      <c r="K25" s="64" t="s">
        <v>66</v>
      </c>
      <c r="L25" s="65" t="s">
        <v>67</v>
      </c>
      <c r="M25" s="19" t="str">
        <f t="shared" si="0"/>
        <v/>
      </c>
      <c r="N25" s="60"/>
      <c r="O25" s="10">
        <v>-1500</v>
      </c>
      <c r="P25" s="26" t="str">
        <f t="shared" si="2"/>
        <v/>
      </c>
      <c r="Q25" s="30"/>
    </row>
    <row r="26" spans="1:23" ht="16" thickBot="1" x14ac:dyDescent="0.25">
      <c r="A26">
        <v>9</v>
      </c>
      <c r="B26" s="46"/>
      <c r="C26" s="2" t="str">
        <f>I22</f>
        <v>HOA</v>
      </c>
      <c r="D26" s="62">
        <v>0</v>
      </c>
      <c r="E26" s="4">
        <f t="shared" ref="E26:E27" si="3">H$11</f>
        <v>45530</v>
      </c>
      <c r="H26" s="41">
        <f>G2</f>
        <v>0</v>
      </c>
      <c r="I26" s="66">
        <f>G17+C3+F2-I15-M50+E11</f>
        <v>0</v>
      </c>
      <c r="J26" s="66">
        <f>G17+C3+C8+F2-M50</f>
        <v>0</v>
      </c>
      <c r="K26" s="67">
        <v>5000</v>
      </c>
      <c r="L26" s="68" t="str">
        <f>IF(I26 &lt;= 0, "Freeze Credit Spending","Spend Away")</f>
        <v>Freeze Credit Spending</v>
      </c>
      <c r="M26" s="19" t="str">
        <f t="shared" si="0"/>
        <v/>
      </c>
      <c r="N26" s="60"/>
      <c r="O26" s="10">
        <v>-1200</v>
      </c>
      <c r="P26" s="26" t="str">
        <f t="shared" si="2"/>
        <v/>
      </c>
      <c r="Q26" s="30"/>
    </row>
    <row r="27" spans="1:23" ht="16" thickTop="1" x14ac:dyDescent="0.2">
      <c r="A27">
        <v>10</v>
      </c>
      <c r="B27" s="46"/>
      <c r="C27" s="2" t="str">
        <f>B6</f>
        <v>Vacation Savings</v>
      </c>
      <c r="D27" s="62">
        <v>0</v>
      </c>
      <c r="E27" s="4">
        <f t="shared" si="3"/>
        <v>45530</v>
      </c>
      <c r="G27" s="15" t="s">
        <v>68</v>
      </c>
      <c r="H27" s="22">
        <f>SUM(H25:H26)</f>
        <v>0</v>
      </c>
      <c r="I27" s="37"/>
      <c r="J27" s="66"/>
      <c r="K27" s="10"/>
      <c r="L27" s="10"/>
      <c r="M27" s="19" t="str">
        <f t="shared" si="0"/>
        <v/>
      </c>
      <c r="N27" s="60"/>
      <c r="O27" s="10">
        <v>-900</v>
      </c>
      <c r="P27" s="26" t="str">
        <f>IF(J$4&lt;O27, "&lt;", "")</f>
        <v/>
      </c>
      <c r="Q27" s="30"/>
    </row>
    <row r="28" spans="1:23" x14ac:dyDescent="0.2">
      <c r="A28" s="2" t="s">
        <v>69</v>
      </c>
      <c r="B28" s="46"/>
      <c r="C28" s="2" t="str">
        <f>B7</f>
        <v>Emergency Savings</v>
      </c>
      <c r="D28" s="22">
        <v>0</v>
      </c>
      <c r="E28" s="4">
        <f>H$11</f>
        <v>45530</v>
      </c>
      <c r="G28" s="10" t="s">
        <v>70</v>
      </c>
      <c r="H28" s="22">
        <f>H27-D30</f>
        <v>0</v>
      </c>
      <c r="I28" s="37"/>
      <c r="J28" s="13"/>
      <c r="K28" s="10"/>
      <c r="L28" s="10"/>
      <c r="M28" s="19" t="str">
        <f t="shared" si="0"/>
        <v/>
      </c>
      <c r="N28" s="60"/>
      <c r="O28" s="10">
        <v>-600</v>
      </c>
      <c r="P28" s="26" t="str">
        <f t="shared" si="2"/>
        <v/>
      </c>
      <c r="Q28" s="30"/>
    </row>
    <row r="29" spans="1:23" x14ac:dyDescent="0.2">
      <c r="A29" s="2"/>
      <c r="B29" s="46"/>
      <c r="C29" s="2" t="str">
        <f>B8</f>
        <v>Boost Savings</v>
      </c>
      <c r="D29" s="22">
        <v>0</v>
      </c>
      <c r="E29" s="4">
        <f>F$19</f>
        <v>45530</v>
      </c>
      <c r="G29" t="s">
        <v>71</v>
      </c>
      <c r="H29" s="22">
        <f>H27+G17</f>
        <v>0</v>
      </c>
      <c r="I29" s="10"/>
      <c r="J29" s="13"/>
      <c r="K29" s="10"/>
      <c r="L29" s="10"/>
      <c r="M29" s="19" t="str">
        <f t="shared" si="0"/>
        <v/>
      </c>
      <c r="N29" s="60"/>
      <c r="O29" s="10">
        <v>-300</v>
      </c>
      <c r="P29" s="26" t="str">
        <f>IF(J$4&lt;O29, "&lt;", "")</f>
        <v/>
      </c>
      <c r="Q29" s="30"/>
    </row>
    <row r="30" spans="1:23" x14ac:dyDescent="0.2">
      <c r="C30" s="2" t="s">
        <v>68</v>
      </c>
      <c r="D30" s="22">
        <f>SUM(D25:D28)</f>
        <v>0</v>
      </c>
      <c r="H30" s="10"/>
      <c r="I30" s="10"/>
      <c r="J30" s="13"/>
      <c r="K30" s="10"/>
      <c r="L30" s="10"/>
      <c r="M30" s="19" t="str">
        <f>IF(B$12&lt;O30, "&lt;---------------------&gt;", "")</f>
        <v/>
      </c>
      <c r="N30" s="60"/>
      <c r="O30" s="10">
        <v>0</v>
      </c>
      <c r="P30" s="26" t="str">
        <f>IF(J$4&lt;O30, "&lt;", "")</f>
        <v/>
      </c>
      <c r="Q30" s="30"/>
    </row>
    <row r="31" spans="1:23" x14ac:dyDescent="0.2">
      <c r="C31" s="2"/>
      <c r="D31" s="10"/>
      <c r="H31" s="10"/>
      <c r="I31" s="10"/>
      <c r="J31" s="13"/>
      <c r="K31" s="10"/>
      <c r="L31" s="10"/>
      <c r="M31" s="10"/>
      <c r="N31" s="10"/>
      <c r="O31" s="10"/>
      <c r="P31" s="10"/>
      <c r="Q31" s="10"/>
    </row>
    <row r="32" spans="1:23" x14ac:dyDescent="0.2">
      <c r="H32" s="10"/>
      <c r="I32" s="10"/>
      <c r="J32" s="13"/>
      <c r="K32" s="10"/>
      <c r="L32" s="10"/>
      <c r="M32" s="10"/>
      <c r="N32" s="10"/>
      <c r="O32" s="10"/>
      <c r="P32" s="10"/>
      <c r="Q32" s="10"/>
      <c r="W32" s="10"/>
    </row>
    <row r="33" spans="1:20" ht="32" x14ac:dyDescent="0.2">
      <c r="B33" s="2" t="s">
        <v>72</v>
      </c>
      <c r="C33" s="15" t="s">
        <v>73</v>
      </c>
      <c r="D33" s="15" t="s">
        <v>74</v>
      </c>
      <c r="E33" s="15" t="s">
        <v>75</v>
      </c>
      <c r="F33" s="15" t="s">
        <v>76</v>
      </c>
      <c r="G33" s="27" t="s">
        <v>77</v>
      </c>
      <c r="H33" s="27" t="s">
        <v>78</v>
      </c>
      <c r="I33" s="27" t="s">
        <v>79</v>
      </c>
      <c r="J33" s="15"/>
      <c r="K33" s="15" t="s">
        <v>80</v>
      </c>
      <c r="L33" s="15" t="s">
        <v>81</v>
      </c>
      <c r="M33" s="69" t="s">
        <v>82</v>
      </c>
      <c r="N33" s="69" t="s">
        <v>83</v>
      </c>
      <c r="O33" s="70" t="s">
        <v>84</v>
      </c>
      <c r="P33" s="69" t="s">
        <v>85</v>
      </c>
      <c r="Q33" s="63" t="s">
        <v>86</v>
      </c>
      <c r="T33" s="6"/>
    </row>
    <row r="34" spans="1:20" x14ac:dyDescent="0.2">
      <c r="A34" s="71"/>
      <c r="B34" s="71"/>
      <c r="C34" s="72"/>
      <c r="D34" s="72"/>
      <c r="E34" s="72"/>
      <c r="F34" s="72"/>
      <c r="G34" s="73"/>
      <c r="H34" s="73"/>
      <c r="I34" s="73"/>
      <c r="J34" s="72"/>
      <c r="K34" s="72"/>
      <c r="L34" s="72"/>
      <c r="M34" s="69"/>
      <c r="N34" s="74">
        <f>I26</f>
        <v>0</v>
      </c>
      <c r="O34" s="37" t="e">
        <f>N34/Q50</f>
        <v>#DIV/0!</v>
      </c>
      <c r="P34" s="37" t="e">
        <f>O34/Q50</f>
        <v>#DIV/0!</v>
      </c>
      <c r="Q34" s="37" t="e">
        <f>P34/Q50</f>
        <v>#DIV/0!</v>
      </c>
    </row>
    <row r="35" spans="1:20" x14ac:dyDescent="0.2">
      <c r="A35" s="71" t="s">
        <v>87</v>
      </c>
      <c r="B35" s="75">
        <f>C$2</f>
        <v>45530</v>
      </c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57">
        <f t="shared" ref="M35" si="4">SUM(C35:I35)</f>
        <v>0</v>
      </c>
      <c r="N35" s="77">
        <f>N34-M35</f>
        <v>0</v>
      </c>
      <c r="O35" s="77" t="e">
        <f>O34-M35/Q$50</f>
        <v>#DIV/0!</v>
      </c>
      <c r="P35" s="77" t="e">
        <f>P34-M35/Q$50</f>
        <v>#DIV/0!</v>
      </c>
      <c r="Q35" s="77" t="e">
        <f>Q34-M35/Q$50</f>
        <v>#DIV/0!</v>
      </c>
    </row>
    <row r="36" spans="1:20" x14ac:dyDescent="0.2">
      <c r="A36" s="71" t="s">
        <v>88</v>
      </c>
      <c r="B36" s="75">
        <f>C$2+1</f>
        <v>45531</v>
      </c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57">
        <f>SUM(C36:L36)</f>
        <v>0</v>
      </c>
      <c r="N36" s="77" t="e">
        <f>N35-M36/Q$50</f>
        <v>#DIV/0!</v>
      </c>
      <c r="O36" s="77" t="e">
        <f t="shared" ref="O36:O48" si="5">O35-M36/Q$50</f>
        <v>#DIV/0!</v>
      </c>
      <c r="P36" s="77" t="e">
        <f t="shared" ref="P36:P48" si="6">P35-M36/Q$50</f>
        <v>#DIV/0!</v>
      </c>
      <c r="Q36" s="77" t="e">
        <f t="shared" ref="Q36:Q48" si="7">Q35-M36/Q$50</f>
        <v>#DIV/0!</v>
      </c>
    </row>
    <row r="37" spans="1:20" x14ac:dyDescent="0.2">
      <c r="A37" s="71" t="s">
        <v>89</v>
      </c>
      <c r="B37" s="75">
        <f>C$2+3</f>
        <v>45533</v>
      </c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57">
        <f>SUM(C37:L37)</f>
        <v>0</v>
      </c>
      <c r="N37" s="77" t="e">
        <f t="shared" ref="N37:N48" si="8">N36-M37/Q$50</f>
        <v>#DIV/0!</v>
      </c>
      <c r="O37" s="77" t="e">
        <f t="shared" si="5"/>
        <v>#DIV/0!</v>
      </c>
      <c r="P37" s="77" t="e">
        <f t="shared" si="6"/>
        <v>#DIV/0!</v>
      </c>
      <c r="Q37" s="77" t="e">
        <f t="shared" si="7"/>
        <v>#DIV/0!</v>
      </c>
    </row>
    <row r="38" spans="1:20" x14ac:dyDescent="0.2">
      <c r="A38" s="71" t="s">
        <v>90</v>
      </c>
      <c r="B38" s="75">
        <f>C$2+4</f>
        <v>45534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57">
        <f t="shared" ref="M38:M48" si="9">SUM(C38:L38)</f>
        <v>0</v>
      </c>
      <c r="N38" s="77" t="e">
        <f t="shared" si="8"/>
        <v>#DIV/0!</v>
      </c>
      <c r="O38" s="77" t="e">
        <f t="shared" si="5"/>
        <v>#DIV/0!</v>
      </c>
      <c r="P38" s="77" t="e">
        <f t="shared" si="6"/>
        <v>#DIV/0!</v>
      </c>
      <c r="Q38" s="77" t="e">
        <f t="shared" si="7"/>
        <v>#DIV/0!</v>
      </c>
    </row>
    <row r="39" spans="1:20" x14ac:dyDescent="0.2">
      <c r="A39" s="71" t="s">
        <v>8</v>
      </c>
      <c r="B39" s="75">
        <f>C$2+5</f>
        <v>45535</v>
      </c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57">
        <f t="shared" si="9"/>
        <v>0</v>
      </c>
      <c r="N39" s="77" t="e">
        <f t="shared" si="8"/>
        <v>#DIV/0!</v>
      </c>
      <c r="O39" s="77" t="e">
        <f t="shared" si="5"/>
        <v>#DIV/0!</v>
      </c>
      <c r="P39" s="77" t="e">
        <f t="shared" si="6"/>
        <v>#DIV/0!</v>
      </c>
      <c r="Q39" s="77" t="e">
        <f t="shared" si="7"/>
        <v>#DIV/0!</v>
      </c>
    </row>
    <row r="40" spans="1:20" ht="15.5" customHeight="1" x14ac:dyDescent="0.2">
      <c r="A40" s="71" t="s">
        <v>91</v>
      </c>
      <c r="B40" s="75">
        <f>C$2+6</f>
        <v>45536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57">
        <f t="shared" si="9"/>
        <v>0</v>
      </c>
      <c r="N40" s="77" t="e">
        <f t="shared" si="8"/>
        <v>#DIV/0!</v>
      </c>
      <c r="O40" s="77" t="e">
        <f t="shared" si="5"/>
        <v>#DIV/0!</v>
      </c>
      <c r="P40" s="77" t="e">
        <f t="shared" si="6"/>
        <v>#DIV/0!</v>
      </c>
      <c r="Q40" s="77" t="e">
        <f t="shared" si="7"/>
        <v>#DIV/0!</v>
      </c>
    </row>
    <row r="41" spans="1:20" ht="12" customHeight="1" x14ac:dyDescent="0.2">
      <c r="A41" s="71" t="s">
        <v>92</v>
      </c>
      <c r="B41" s="75">
        <f>C$2+7</f>
        <v>45537</v>
      </c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57">
        <f>SUM(C41:L41)</f>
        <v>0</v>
      </c>
      <c r="N41" s="77" t="e">
        <f t="shared" si="8"/>
        <v>#DIV/0!</v>
      </c>
      <c r="O41" s="77" t="e">
        <f t="shared" si="5"/>
        <v>#DIV/0!</v>
      </c>
      <c r="P41" s="77" t="e">
        <f t="shared" si="6"/>
        <v>#DIV/0!</v>
      </c>
      <c r="Q41" s="77" t="e">
        <f t="shared" si="7"/>
        <v>#DIV/0!</v>
      </c>
    </row>
    <row r="42" spans="1:20" x14ac:dyDescent="0.2">
      <c r="A42" s="71" t="s">
        <v>87</v>
      </c>
      <c r="B42" s="75">
        <f>C$2+8</f>
        <v>45538</v>
      </c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57">
        <f>SUM(C42:L42)</f>
        <v>0</v>
      </c>
      <c r="N42" s="77" t="e">
        <f t="shared" si="8"/>
        <v>#DIV/0!</v>
      </c>
      <c r="O42" s="77" t="e">
        <f t="shared" si="5"/>
        <v>#DIV/0!</v>
      </c>
      <c r="P42" s="77" t="e">
        <f t="shared" si="6"/>
        <v>#DIV/0!</v>
      </c>
      <c r="Q42" s="77" t="e">
        <f t="shared" si="7"/>
        <v>#DIV/0!</v>
      </c>
    </row>
    <row r="43" spans="1:20" x14ac:dyDescent="0.2">
      <c r="A43" s="71" t="s">
        <v>88</v>
      </c>
      <c r="B43" s="75">
        <f>C$2+9</f>
        <v>45539</v>
      </c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57">
        <f t="shared" si="9"/>
        <v>0</v>
      </c>
      <c r="N43" s="77" t="e">
        <f t="shared" si="8"/>
        <v>#DIV/0!</v>
      </c>
      <c r="O43" s="77" t="e">
        <f t="shared" si="5"/>
        <v>#DIV/0!</v>
      </c>
      <c r="P43" s="77" t="e">
        <f t="shared" si="6"/>
        <v>#DIV/0!</v>
      </c>
      <c r="Q43" s="77" t="e">
        <f t="shared" si="7"/>
        <v>#DIV/0!</v>
      </c>
    </row>
    <row r="44" spans="1:20" x14ac:dyDescent="0.2">
      <c r="A44" s="71" t="s">
        <v>89</v>
      </c>
      <c r="B44" s="75">
        <f>C$2+10</f>
        <v>45540</v>
      </c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57">
        <f t="shared" si="9"/>
        <v>0</v>
      </c>
      <c r="N44" s="77" t="e">
        <f t="shared" si="8"/>
        <v>#DIV/0!</v>
      </c>
      <c r="O44" s="77" t="e">
        <f t="shared" si="5"/>
        <v>#DIV/0!</v>
      </c>
      <c r="P44" s="77" t="e">
        <f t="shared" si="6"/>
        <v>#DIV/0!</v>
      </c>
      <c r="Q44" s="77" t="e">
        <f t="shared" si="7"/>
        <v>#DIV/0!</v>
      </c>
    </row>
    <row r="45" spans="1:20" x14ac:dyDescent="0.2">
      <c r="A45" s="71" t="s">
        <v>90</v>
      </c>
      <c r="B45" s="75">
        <f>C$2+11</f>
        <v>45541</v>
      </c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57">
        <f t="shared" si="9"/>
        <v>0</v>
      </c>
      <c r="N45" s="77" t="e">
        <f t="shared" si="8"/>
        <v>#DIV/0!</v>
      </c>
      <c r="O45" s="77" t="e">
        <f t="shared" si="5"/>
        <v>#DIV/0!</v>
      </c>
      <c r="P45" s="77" t="e">
        <f t="shared" si="6"/>
        <v>#DIV/0!</v>
      </c>
      <c r="Q45" s="77" t="e">
        <f t="shared" si="7"/>
        <v>#DIV/0!</v>
      </c>
    </row>
    <row r="46" spans="1:20" x14ac:dyDescent="0.2">
      <c r="A46" s="71" t="s">
        <v>8</v>
      </c>
      <c r="B46" s="75">
        <f>C$2+12</f>
        <v>45542</v>
      </c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57">
        <f t="shared" si="9"/>
        <v>0</v>
      </c>
      <c r="N46" s="77" t="e">
        <f t="shared" si="8"/>
        <v>#DIV/0!</v>
      </c>
      <c r="O46" s="77" t="e">
        <f t="shared" si="5"/>
        <v>#DIV/0!</v>
      </c>
      <c r="P46" s="77" t="e">
        <f t="shared" si="6"/>
        <v>#DIV/0!</v>
      </c>
      <c r="Q46" s="77" t="e">
        <f t="shared" si="7"/>
        <v>#DIV/0!</v>
      </c>
    </row>
    <row r="47" spans="1:20" x14ac:dyDescent="0.2">
      <c r="A47" s="71" t="s">
        <v>91</v>
      </c>
      <c r="B47" s="75">
        <f>C$2+13</f>
        <v>45543</v>
      </c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57">
        <f t="shared" si="9"/>
        <v>0</v>
      </c>
      <c r="N47" s="77" t="e">
        <f t="shared" si="8"/>
        <v>#DIV/0!</v>
      </c>
      <c r="O47" s="77" t="e">
        <f t="shared" si="5"/>
        <v>#DIV/0!</v>
      </c>
      <c r="P47" s="77" t="e">
        <f t="shared" si="6"/>
        <v>#DIV/0!</v>
      </c>
      <c r="Q47" s="77" t="e">
        <f t="shared" si="7"/>
        <v>#DIV/0!</v>
      </c>
    </row>
    <row r="48" spans="1:20" x14ac:dyDescent="0.2">
      <c r="A48" s="71" t="s">
        <v>92</v>
      </c>
      <c r="B48" s="75">
        <f>C$2+14</f>
        <v>45544</v>
      </c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57">
        <f t="shared" si="9"/>
        <v>0</v>
      </c>
      <c r="N48" s="77" t="e">
        <f t="shared" si="8"/>
        <v>#DIV/0!</v>
      </c>
      <c r="O48" s="77" t="e">
        <f t="shared" si="5"/>
        <v>#DIV/0!</v>
      </c>
      <c r="P48" s="77" t="e">
        <f t="shared" si="6"/>
        <v>#DIV/0!</v>
      </c>
      <c r="Q48" s="77" t="e">
        <f t="shared" si="7"/>
        <v>#DIV/0!</v>
      </c>
    </row>
    <row r="49" spans="2:17" x14ac:dyDescent="0.2"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0" t="s">
        <v>93</v>
      </c>
      <c r="O49" s="79" t="s">
        <v>94</v>
      </c>
      <c r="P49" s="15" t="s">
        <v>95</v>
      </c>
      <c r="Q49" s="10" t="s">
        <v>55</v>
      </c>
    </row>
    <row r="50" spans="2:17" x14ac:dyDescent="0.2">
      <c r="B50" s="2" t="s">
        <v>96</v>
      </c>
      <c r="C50" s="62">
        <f>SUM(C35:C48)</f>
        <v>0</v>
      </c>
      <c r="D50" s="62">
        <f>SUM(D35:D48)</f>
        <v>0</v>
      </c>
      <c r="E50" s="62">
        <f t="shared" ref="E50:L50" si="10">SUM(E36:E48)</f>
        <v>0</v>
      </c>
      <c r="F50" s="62">
        <f t="shared" si="10"/>
        <v>0</v>
      </c>
      <c r="G50" s="62">
        <f t="shared" si="10"/>
        <v>0</v>
      </c>
      <c r="H50" s="62">
        <f t="shared" si="10"/>
        <v>0</v>
      </c>
      <c r="I50" s="62">
        <f t="shared" si="10"/>
        <v>0</v>
      </c>
      <c r="J50" s="62">
        <f t="shared" si="10"/>
        <v>0</v>
      </c>
      <c r="K50" s="62">
        <f t="shared" si="10"/>
        <v>0</v>
      </c>
      <c r="L50" s="62">
        <f t="shared" si="10"/>
        <v>0</v>
      </c>
      <c r="M50" s="62">
        <f>SUM(M35:M48)</f>
        <v>0</v>
      </c>
      <c r="N50" s="80" t="e">
        <f>I26/H27</f>
        <v>#DIV/0!</v>
      </c>
      <c r="O50" s="37" t="e">
        <f>(N34-M50)/Q50</f>
        <v>#DIV/0!</v>
      </c>
      <c r="P50" s="80" t="e">
        <f>100% -N50</f>
        <v>#DIV/0!</v>
      </c>
      <c r="Q50" s="15">
        <f>G19</f>
        <v>0</v>
      </c>
    </row>
    <row r="51" spans="2:17" x14ac:dyDescent="0.2">
      <c r="O51" s="1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41d71c-c6b6-47b0-803c-0f3b32b07556}" enabled="0" method="" siteId="{e741d71c-c6b6-47b0-803c-0f3b32b075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Version 5</vt:lpstr>
      <vt:lpstr>Template Version 1</vt:lpstr>
    </vt:vector>
  </TitlesOfParts>
  <Company>ATT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CLARK, KEVIN</dc:creator>
  <cp:lastModifiedBy>Kevin Clark</cp:lastModifiedBy>
  <dcterms:created xsi:type="dcterms:W3CDTF">2024-07-22T20:47:41Z</dcterms:created>
  <dcterms:modified xsi:type="dcterms:W3CDTF">2026-06-15T03:20:35Z</dcterms:modified>
</cp:coreProperties>
</file>