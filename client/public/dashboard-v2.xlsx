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10-28-2024" sheetId="1" r:id="rId5"/>
    <sheet state="hidden" name="10-21-2024" sheetId="2" r:id="rId6"/>
    <sheet state="hidden" name="10-15-2024" sheetId="3" r:id="rId7"/>
    <sheet state="hidden" name="10-10-2024" sheetId="4" r:id="rId8"/>
    <sheet state="hidden" name="10-08-2024" sheetId="5" r:id="rId9"/>
    <sheet state="hidden" name="10-04-2024" sheetId="6" r:id="rId10"/>
    <sheet state="hidden" name="10-03-2024" sheetId="7" r:id="rId11"/>
    <sheet state="hidden" name="09-19-2024" sheetId="8" r:id="rId12"/>
    <sheet state="hidden" name="08-28-2024" sheetId="9" r:id="rId13"/>
    <sheet state="hidden" name="05-07-2025" sheetId="10" r:id="rId14"/>
    <sheet state="hidden" name="Template Version 2 (2)" sheetId="11" r:id="rId15"/>
    <sheet state="hidden" name="05-16-2025" sheetId="12" r:id="rId16"/>
    <sheet state="hidden" name="05-28-2025" sheetId="13" r:id="rId17"/>
    <sheet state="hidden" name="06-06-2025" sheetId="14" r:id="rId18"/>
    <sheet state="visible" name="06-23-2025" sheetId="15" r:id="rId19"/>
    <sheet state="visible" name="Template Version 2" sheetId="16" r:id="rId20"/>
    <sheet state="hidden" name="Template Version 1" sheetId="17" r:id="rId21"/>
  </sheets>
  <definedNames/>
  <calcPr/>
</workbook>
</file>

<file path=xl/sharedStrings.xml><?xml version="1.0" encoding="utf-8"?>
<sst xmlns="http://schemas.openxmlformats.org/spreadsheetml/2006/main" count="1932" uniqueCount="119">
  <si>
    <t>Day</t>
  </si>
  <si>
    <t>Date</t>
  </si>
  <si>
    <t>Time</t>
  </si>
  <si>
    <t>Saved</t>
  </si>
  <si>
    <t>Fuel</t>
  </si>
  <si>
    <t>Bank</t>
  </si>
  <si>
    <t>Rewards</t>
  </si>
  <si>
    <t>Total CC</t>
  </si>
  <si>
    <t>Monday</t>
  </si>
  <si>
    <t>4:00pm</t>
  </si>
  <si>
    <t>BANK</t>
  </si>
  <si>
    <t>CM Total 
After Full Attack</t>
  </si>
  <si>
    <t>Due By Date</t>
  </si>
  <si>
    <t>MHOA Savings</t>
  </si>
  <si>
    <t>Power</t>
  </si>
  <si>
    <t>Water</t>
  </si>
  <si>
    <t>CM Guage</t>
  </si>
  <si>
    <t>Next Goal</t>
  </si>
  <si>
    <t>Utilities (Power and Water)</t>
  </si>
  <si>
    <t>USE</t>
  </si>
  <si>
    <t>Vacation Savings</t>
  </si>
  <si>
    <t>Emergency Savings</t>
  </si>
  <si>
    <t>Boost Savings</t>
  </si>
  <si>
    <t>Pay Yourself Savings</t>
  </si>
  <si>
    <t>Unorganized Savings</t>
  </si>
  <si>
    <t>Estimated Pay Drop Date</t>
  </si>
  <si>
    <t>Quick Note: Praying for Uncle</t>
  </si>
  <si>
    <t>There is a CM Approaching.</t>
  </si>
  <si>
    <t>Holding Tank</t>
  </si>
  <si>
    <t>CURRENT DEBT</t>
  </si>
  <si>
    <t>Minimum</t>
  </si>
  <si>
    <t>Left 2 Go</t>
  </si>
  <si>
    <t>Next Attack</t>
  </si>
  <si>
    <t>Remaining BEFORE Attack</t>
  </si>
  <si>
    <t>Countdown</t>
  </si>
  <si>
    <t>Final Due Date</t>
  </si>
  <si>
    <t>Payment</t>
  </si>
  <si>
    <t>Last Statement Balance</t>
  </si>
  <si>
    <t>Damage +/-</t>
  </si>
  <si>
    <t>Next Minimum</t>
  </si>
  <si>
    <t>CM1</t>
  </si>
  <si>
    <t>+</t>
  </si>
  <si>
    <t>CM2</t>
  </si>
  <si>
    <t>CM Total</t>
  </si>
  <si>
    <t>Total Damage</t>
  </si>
  <si>
    <t>.</t>
  </si>
  <si>
    <t>Beginning Stock</t>
  </si>
  <si>
    <t>Increase or Decrease</t>
  </si>
  <si>
    <t>Replenishment</t>
  </si>
  <si>
    <t>IN</t>
  </si>
  <si>
    <t xml:space="preserve">Predicted Pay Drop </t>
  </si>
  <si>
    <t>Days</t>
  </si>
  <si>
    <t>Monthly Minimum</t>
  </si>
  <si>
    <t>Status</t>
  </si>
  <si>
    <t>October</t>
  </si>
  <si>
    <t>Days Left</t>
  </si>
  <si>
    <t>Until</t>
  </si>
  <si>
    <t>CM Minimum</t>
  </si>
  <si>
    <t>Next CM1 Statement 
Due Date</t>
  </si>
  <si>
    <t>Mortgage</t>
  </si>
  <si>
    <t>HOA</t>
  </si>
  <si>
    <t>Next CM2 Statement 
Due Date</t>
  </si>
  <si>
    <t>Paid</t>
  </si>
  <si>
    <t>TANK</t>
  </si>
  <si>
    <t>As-Of</t>
  </si>
  <si>
    <t>Remaining Fuel</t>
  </si>
  <si>
    <t>Current POR</t>
  </si>
  <si>
    <t>All In POR</t>
  </si>
  <si>
    <t>Target All-In POR (ROI)</t>
  </si>
  <si>
    <t>Spending Advice</t>
  </si>
  <si>
    <t>Total</t>
  </si>
  <si>
    <t>Ending Stock</t>
  </si>
  <si>
    <t>Minus Tank</t>
  </si>
  <si>
    <t>With Replenishment</t>
  </si>
  <si>
    <t>From and Forward</t>
  </si>
  <si>
    <t>Uber Food</t>
  </si>
  <si>
    <t>Uber Trip</t>
  </si>
  <si>
    <t>Roku Sub</t>
  </si>
  <si>
    <t>ATT</t>
  </si>
  <si>
    <t>Amazon</t>
  </si>
  <si>
    <t>State Farm</t>
  </si>
  <si>
    <t>Disney</t>
  </si>
  <si>
    <t>Payment (+)</t>
  </si>
  <si>
    <t>Payment Reversal (-)</t>
  </si>
  <si>
    <t>2 Week Spending</t>
  </si>
  <si>
    <t xml:space="preserve">2 Week Budget Limit </t>
  </si>
  <si>
    <t>Maximum Budget Allowance Per Day</t>
  </si>
  <si>
    <t>Suggested MEAN Budget Allowance Per Day</t>
  </si>
  <si>
    <t>NEW Preferred Budget Allowance Per Day</t>
  </si>
  <si>
    <t>Tuesday</t>
  </si>
  <si>
    <t>Wednesday</t>
  </si>
  <si>
    <t>Thursday</t>
  </si>
  <si>
    <t>Friday</t>
  </si>
  <si>
    <t>Saturday</t>
  </si>
  <si>
    <t>Sunday</t>
  </si>
  <si>
    <t>% Left of POR (ROI)</t>
  </si>
  <si>
    <t>+Available/-Over Budget</t>
  </si>
  <si>
    <t>% Total POR Used</t>
  </si>
  <si>
    <t>Totals</t>
  </si>
  <si>
    <t>11:00am</t>
  </si>
  <si>
    <t>Quick Note:</t>
  </si>
  <si>
    <t xml:space="preserve">Total Monthly Minimum </t>
  </si>
  <si>
    <t>2:00pm</t>
  </si>
  <si>
    <t>10:00am</t>
  </si>
  <si>
    <t>Next Statement Due Date</t>
  </si>
  <si>
    <t>September</t>
  </si>
  <si>
    <t>Refuel</t>
  </si>
  <si>
    <t>July</t>
  </si>
  <si>
    <t>Battle Notification:</t>
  </si>
  <si>
    <t>Remaining AFTER Attack</t>
  </si>
  <si>
    <t>1/0/1900</t>
  </si>
  <si>
    <t>CM 1 Due On</t>
  </si>
  <si>
    <t>CM 2 Due On</t>
  </si>
  <si>
    <t>00/00/00</t>
  </si>
  <si>
    <t>Available</t>
  </si>
  <si>
    <t>1:21pm</t>
  </si>
  <si>
    <t>November</t>
  </si>
  <si>
    <t>Due On</t>
  </si>
  <si>
    <t>9:42am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</si>
</sst>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F400]h:mm:ss\ AM/PM"/>
    <numFmt numFmtId="165" formatCode="mmm\-yyyy"/>
  </numFmts>
  <fonts count="8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1.0"/>
      <color theme="1"/>
      <name val="Calibri"/>
    </font>
    <font>
      <sz val="11.0"/>
      <color rgb="FFFF0000"/>
      <name val="Calibri"/>
    </font>
    <font>
      <sz val="11.0"/>
      <color rgb="FF00B050"/>
      <name val="Calibri"/>
    </font>
    <font>
      <sz val="11.0"/>
      <color rgb="FF92D050"/>
      <name val="Calibri"/>
    </font>
    <font/>
  </fonts>
  <fills count="1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EF2CB"/>
        <bgColor rgb="FFFEF2CB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theme="6"/>
        <bgColor theme="6"/>
      </patternFill>
    </fill>
    <fill>
      <patternFill patternType="solid">
        <fgColor rgb="FFECECEC"/>
        <bgColor rgb="FFECECEC"/>
      </patternFill>
    </fill>
    <fill>
      <patternFill patternType="solid">
        <fgColor rgb="FFAEABAB"/>
        <bgColor rgb="FFAEABAB"/>
      </patternFill>
    </fill>
  </fills>
  <borders count="11">
    <border/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ck">
        <color rgb="FF000000"/>
      </left>
      <right style="thick">
        <color rgb="FF000000"/>
      </right>
      <top/>
      <bottom style="thick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/>
      <right/>
      <top/>
    </border>
    <border>
      <left/>
      <right/>
    </border>
    <border>
      <left/>
      <right/>
      <bottom/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right"/>
    </xf>
    <xf borderId="0" fillId="0" fontId="1" numFmtId="14" xfId="0" applyFont="1" applyNumberFormat="1"/>
    <xf borderId="0" fillId="0" fontId="1" numFmtId="164" xfId="0" applyAlignment="1" applyFont="1" applyNumberFormat="1">
      <alignment horizontal="right"/>
    </xf>
    <xf borderId="0" fillId="0" fontId="1" numFmtId="2" xfId="0" applyAlignment="1" applyFont="1" applyNumberFormat="1">
      <alignment shrinkToFit="0" wrapText="1"/>
    </xf>
    <xf borderId="1" fillId="3" fontId="1" numFmtId="2" xfId="0" applyBorder="1" applyFill="1" applyFont="1" applyNumberFormat="1"/>
    <xf borderId="1" fillId="4" fontId="1" numFmtId="2" xfId="0" applyBorder="1" applyFill="1" applyFont="1" applyNumberFormat="1"/>
    <xf borderId="0" fillId="0" fontId="1" numFmtId="2" xfId="0" applyFont="1" applyNumberFormat="1"/>
    <xf borderId="0" fillId="0" fontId="1" numFmtId="0" xfId="0" applyAlignment="1" applyFont="1">
      <alignment horizontal="center" vertical="center"/>
    </xf>
    <xf borderId="1" fillId="5" fontId="1" numFmtId="4" xfId="0" applyAlignment="1" applyBorder="1" applyFill="1" applyFont="1" applyNumberFormat="1">
      <alignment horizontal="center" vertical="center"/>
    </xf>
    <xf borderId="2" fillId="6" fontId="1" numFmtId="2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0" fillId="0" fontId="1" numFmtId="16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1" fillId="7" fontId="1" numFmtId="2" xfId="0" applyBorder="1" applyFill="1" applyFont="1" applyNumberFormat="1"/>
    <xf borderId="1" fillId="6" fontId="1" numFmtId="2" xfId="0" applyBorder="1" applyFont="1" applyNumberFormat="1"/>
    <xf borderId="1" fillId="5" fontId="1" numFmtId="2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1" numFmtId="0" xfId="0" applyAlignment="1" applyFont="1">
      <alignment horizontal="left" shrinkToFit="0" vertical="top" wrapText="1"/>
    </xf>
    <xf borderId="0" fillId="0" fontId="1" numFmtId="2" xfId="0" applyAlignment="1" applyFont="1" applyNumberFormat="1">
      <alignment horizontal="center" vertical="center"/>
    </xf>
    <xf borderId="0" fillId="0" fontId="1" numFmtId="2" xfId="0" applyAlignment="1" applyFont="1" applyNumberFormat="1">
      <alignment horizontal="center" shrinkToFit="0" vertical="center" wrapText="1"/>
    </xf>
    <xf borderId="1" fillId="8" fontId="1" numFmtId="0" xfId="0" applyBorder="1" applyFill="1" applyFont="1"/>
    <xf borderId="0" fillId="0" fontId="3" numFmtId="0" xfId="0" applyAlignment="1" applyFont="1">
      <alignment horizontal="left"/>
    </xf>
    <xf borderId="0" fillId="0" fontId="1" numFmtId="0" xfId="0" applyAlignment="1" applyFont="1">
      <alignment vertical="center"/>
    </xf>
    <xf borderId="0" fillId="0" fontId="1" numFmtId="2" xfId="0" applyAlignment="1" applyFont="1" applyNumberFormat="1">
      <alignment vertical="center"/>
    </xf>
    <xf borderId="0" fillId="0" fontId="1" numFmtId="0" xfId="0" applyAlignment="1" applyFont="1">
      <alignment shrinkToFit="0" vertical="top" wrapText="1"/>
    </xf>
    <xf borderId="1" fillId="2" fontId="1" numFmtId="14" xfId="0" applyAlignment="1" applyBorder="1" applyFont="1" applyNumberFormat="1">
      <alignment horizontal="center"/>
    </xf>
    <xf borderId="0" fillId="0" fontId="1" numFmtId="1" xfId="0" applyFont="1" applyNumberFormat="1"/>
    <xf borderId="1" fillId="8" fontId="3" numFmtId="2" xfId="0" applyAlignment="1" applyBorder="1" applyFont="1" applyNumberFormat="1">
      <alignment horizontal="center" vertical="center"/>
    </xf>
    <xf borderId="1" fillId="5" fontId="1" numFmtId="0" xfId="0" applyBorder="1" applyFont="1"/>
    <xf borderId="0" fillId="0" fontId="4" numFmtId="2" xfId="0" applyAlignment="1" applyFont="1" applyNumberFormat="1">
      <alignment horizontal="center" vertical="center"/>
    </xf>
    <xf borderId="0" fillId="0" fontId="5" numFmtId="2" xfId="0" applyAlignment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0" fillId="0" fontId="1" numFmtId="14" xfId="0" applyAlignment="1" applyFont="1" applyNumberFormat="1">
      <alignment horizontal="center" vertical="center"/>
    </xf>
    <xf borderId="1" fillId="5" fontId="1" numFmtId="2" xfId="0" applyAlignment="1" applyBorder="1" applyFont="1" applyNumberFormat="1">
      <alignment horizontal="center" vertical="center"/>
    </xf>
    <xf borderId="1" fillId="3" fontId="1" numFmtId="2" xfId="0" applyAlignment="1" applyBorder="1" applyFont="1" applyNumberFormat="1">
      <alignment horizontal="center" vertical="center"/>
    </xf>
    <xf borderId="1" fillId="7" fontId="1" numFmtId="2" xfId="0" applyAlignment="1" applyBorder="1" applyFont="1" applyNumberFormat="1">
      <alignment horizontal="center" vertical="center"/>
    </xf>
    <xf borderId="0" fillId="0" fontId="6" numFmtId="0" xfId="0" applyFont="1"/>
    <xf borderId="0" fillId="0" fontId="3" numFmtId="0" xfId="0" applyAlignment="1" applyFont="1">
      <alignment horizontal="right" shrinkToFit="0" wrapText="1"/>
    </xf>
    <xf borderId="0" fillId="0" fontId="3" numFmtId="0" xfId="0" applyAlignment="1" applyFont="1">
      <alignment horizontal="right"/>
    </xf>
    <xf borderId="0" fillId="0" fontId="1" numFmtId="2" xfId="0" applyAlignment="1" applyFont="1" applyNumberFormat="1">
      <alignment horizontal="left"/>
    </xf>
    <xf borderId="0" fillId="0" fontId="5" numFmtId="0" xfId="0" applyAlignment="1" applyFont="1">
      <alignment horizontal="left"/>
    </xf>
    <xf borderId="1" fillId="6" fontId="1" numFmtId="0" xfId="0" applyAlignment="1" applyBorder="1" applyFont="1">
      <alignment horizontal="center" vertical="center"/>
    </xf>
    <xf borderId="1" fillId="6" fontId="1" numFmtId="2" xfId="0" applyAlignment="1" applyBorder="1" applyFont="1" applyNumberFormat="1">
      <alignment horizontal="center" vertical="center"/>
    </xf>
    <xf borderId="0" fillId="0" fontId="3" numFmtId="14" xfId="0" applyAlignment="1" applyFont="1" applyNumberFormat="1">
      <alignment horizontal="center"/>
    </xf>
    <xf borderId="0" fillId="0" fontId="6" numFmtId="2" xfId="0" applyAlignment="1" applyFont="1" applyNumberFormat="1">
      <alignment horizontal="center" vertical="center"/>
    </xf>
    <xf borderId="1" fillId="3" fontId="1" numFmtId="16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horizontal="center"/>
    </xf>
    <xf borderId="1" fillId="5" fontId="1" numFmtId="0" xfId="0" applyAlignment="1" applyBorder="1" applyFont="1">
      <alignment horizontal="center"/>
    </xf>
    <xf borderId="1" fillId="7" fontId="1" numFmtId="0" xfId="0" applyAlignment="1" applyBorder="1" applyFont="1">
      <alignment horizontal="center"/>
    </xf>
    <xf borderId="1" fillId="5" fontId="1" numFmtId="0" xfId="0" applyAlignment="1" applyBorder="1" applyFont="1">
      <alignment horizontal="center" shrinkToFit="0" wrapText="1"/>
    </xf>
    <xf borderId="1" fillId="5" fontId="1" numFmtId="2" xfId="0" applyAlignment="1" applyBorder="1" applyFont="1" applyNumberFormat="1">
      <alignment horizontal="center"/>
    </xf>
    <xf borderId="2" fillId="0" fontId="1" numFmtId="16" xfId="0" applyAlignment="1" applyBorder="1" applyFont="1" applyNumberFormat="1">
      <alignment horizontal="center" vertical="center"/>
    </xf>
    <xf borderId="1" fillId="5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shrinkToFit="0" wrapText="1"/>
    </xf>
    <xf borderId="1" fillId="5" fontId="1" numFmtId="0" xfId="0" applyAlignment="1" applyBorder="1" applyFont="1">
      <alignment horizontal="center" shrinkToFit="0" vertical="center" wrapText="1"/>
    </xf>
    <xf borderId="1" fillId="7" fontId="1" numFmtId="0" xfId="0" applyBorder="1" applyFont="1"/>
    <xf borderId="2" fillId="0" fontId="4" numFmtId="16" xfId="0" applyAlignment="1" applyBorder="1" applyFont="1" applyNumberFormat="1">
      <alignment horizontal="center" vertical="center"/>
    </xf>
    <xf borderId="0" fillId="0" fontId="1" numFmtId="2" xfId="0" applyAlignment="1" applyFont="1" applyNumberFormat="1">
      <alignment horizontal="center"/>
    </xf>
    <xf borderId="1" fillId="9" fontId="1" numFmtId="0" xfId="0" applyBorder="1" applyFill="1" applyFont="1"/>
    <xf borderId="1" fillId="9" fontId="1" numFmtId="2" xfId="0" applyAlignment="1" applyBorder="1" applyFont="1" applyNumberFormat="1">
      <alignment horizontal="center"/>
    </xf>
    <xf borderId="1" fillId="9" fontId="1" numFmtId="0" xfId="0" applyAlignment="1" applyBorder="1" applyFont="1">
      <alignment shrinkToFit="0" wrapText="1"/>
    </xf>
    <xf borderId="1" fillId="9" fontId="1" numFmtId="0" xfId="0" applyAlignment="1" applyBorder="1" applyFont="1">
      <alignment horizontal="center"/>
    </xf>
    <xf borderId="3" fillId="3" fontId="1" numFmtId="2" xfId="0" applyAlignment="1" applyBorder="1" applyFont="1" applyNumberFormat="1">
      <alignment horizontal="center" vertical="center"/>
    </xf>
    <xf borderId="1" fillId="7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4" fillId="7" fontId="1" numFmtId="0" xfId="0" applyAlignment="1" applyBorder="1" applyFont="1">
      <alignment horizontal="center" vertical="center"/>
    </xf>
    <xf borderId="5" fillId="7" fontId="1" numFmtId="2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shrinkToFit="0" vertical="center" wrapText="1"/>
    </xf>
    <xf borderId="1" fillId="2" fontId="1" numFmtId="0" xfId="0" applyAlignment="1" applyBorder="1" applyFont="1">
      <alignment horizontal="center" vertical="center"/>
    </xf>
    <xf borderId="6" fillId="6" fontId="1" numFmtId="0" xfId="0" applyAlignment="1" applyBorder="1" applyFont="1">
      <alignment horizontal="center" vertical="center"/>
    </xf>
    <xf borderId="3" fillId="5" fontId="1" numFmtId="2" xfId="0" applyAlignment="1" applyBorder="1" applyFont="1" applyNumberFormat="1">
      <alignment horizontal="center" vertical="center"/>
    </xf>
    <xf borderId="7" fillId="5" fontId="1" numFmtId="2" xfId="0" applyAlignment="1" applyBorder="1" applyFont="1" applyNumberFormat="1">
      <alignment horizontal="center" vertical="center"/>
    </xf>
    <xf borderId="5" fillId="5" fontId="1" numFmtId="2" xfId="0" applyAlignment="1" applyBorder="1" applyFont="1" applyNumberFormat="1">
      <alignment horizontal="center" vertical="center"/>
    </xf>
    <xf borderId="1" fillId="8" fontId="1" numFmtId="0" xfId="0" applyAlignment="1" applyBorder="1" applyFont="1">
      <alignment horizontal="center" shrinkToFit="0" vertical="center" wrapText="1"/>
    </xf>
    <xf borderId="1" fillId="10" fontId="1" numFmtId="0" xfId="0" applyAlignment="1" applyBorder="1" applyFill="1" applyFont="1">
      <alignment horizontal="right"/>
    </xf>
    <xf borderId="1" fillId="9" fontId="1" numFmtId="0" xfId="0" applyAlignment="1" applyBorder="1" applyFont="1">
      <alignment horizontal="center" shrinkToFit="0" wrapText="1"/>
    </xf>
    <xf borderId="1" fillId="5" fontId="1" numFmtId="1" xfId="0" applyAlignment="1" applyBorder="1" applyFont="1" applyNumberFormat="1">
      <alignment horizontal="center"/>
    </xf>
    <xf borderId="1" fillId="10" fontId="1" numFmtId="16" xfId="0" applyBorder="1" applyFont="1" applyNumberFormat="1"/>
    <xf borderId="1" fillId="11" fontId="1" numFmtId="0" xfId="0" applyAlignment="1" applyBorder="1" applyFill="1" applyFont="1">
      <alignment horizontal="center"/>
    </xf>
    <xf borderId="1" fillId="12" fontId="1" numFmtId="2" xfId="0" applyAlignment="1" applyBorder="1" applyFill="1" applyFont="1" applyNumberFormat="1">
      <alignment horizontal="center"/>
    </xf>
    <xf borderId="1" fillId="7" fontId="1" numFmtId="2" xfId="0" applyAlignment="1" applyBorder="1" applyFont="1" applyNumberFormat="1">
      <alignment horizontal="center"/>
    </xf>
    <xf quotePrefix="1" borderId="0" fillId="0" fontId="1" numFmtId="0" xfId="0" applyAlignment="1" applyFont="1">
      <alignment horizontal="center" vertical="center"/>
    </xf>
    <xf borderId="0" fillId="0" fontId="1" numFmtId="9" xfId="0" applyAlignment="1" applyFont="1" applyNumberFormat="1">
      <alignment horizontal="center"/>
    </xf>
    <xf borderId="0" fillId="0" fontId="1" numFmtId="16" xfId="0" applyAlignment="1" applyFont="1" applyNumberFormat="1">
      <alignment horizontal="center" vertical="center"/>
    </xf>
    <xf borderId="0" fillId="0" fontId="4" numFmtId="16" xfId="0" applyAlignment="1" applyFont="1" applyNumberFormat="1">
      <alignment horizontal="center" vertical="center"/>
    </xf>
    <xf borderId="1" fillId="8" fontId="1" numFmtId="2" xfId="0" applyAlignment="1" applyBorder="1" applyFont="1" applyNumberFormat="1">
      <alignment horizontal="center" vertical="center"/>
    </xf>
    <xf borderId="0" fillId="0" fontId="1" numFmtId="0" xfId="0" applyAlignment="1" applyFont="1">
      <alignment horizontal="left"/>
    </xf>
    <xf borderId="8" fillId="2" fontId="1" numFmtId="0" xfId="0" applyAlignment="1" applyBorder="1" applyFont="1">
      <alignment horizontal="center"/>
    </xf>
    <xf borderId="9" fillId="0" fontId="7" numFmtId="0" xfId="0" applyBorder="1" applyFont="1"/>
    <xf borderId="10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8</v>
      </c>
      <c r="C2" s="5">
        <v>45593.0</v>
      </c>
      <c r="D2" s="6" t="s">
        <v>9</v>
      </c>
      <c r="E2" s="7">
        <f>C4+C6+C7+C8</f>
        <v>1797.72</v>
      </c>
      <c r="F2" s="8">
        <v>500.0</v>
      </c>
      <c r="G2" s="9">
        <f>D3</f>
        <v>0</v>
      </c>
      <c r="H2" s="10">
        <v>0.0</v>
      </c>
      <c r="I2" s="10">
        <f>E2+G2</f>
        <v>1797.72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0</v>
      </c>
      <c r="G3" s="10">
        <f>E2</f>
        <v>1797.72</v>
      </c>
      <c r="I3" s="10">
        <f>F2+C9</f>
        <v>500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1770.62</v>
      </c>
      <c r="D4" s="16" t="s">
        <v>14</v>
      </c>
      <c r="E4" s="17" t="s">
        <v>15</v>
      </c>
      <c r="F4" s="18">
        <f>F3+F2</f>
        <v>500</v>
      </c>
      <c r="G4" s="18">
        <f>G2+G3</f>
        <v>1797.72</v>
      </c>
      <c r="I4" s="19">
        <f>SUM(I2:I3)</f>
        <v>2297.72</v>
      </c>
      <c r="J4" s="20">
        <f>B12+I4+G17</f>
        <v>-53.3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45597</v>
      </c>
    </row>
    <row r="5">
      <c r="A5" s="1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0</v>
      </c>
      <c r="D6" s="24">
        <f t="shared" ref="D6:D8" si="4">0+D27</f>
        <v>0</v>
      </c>
      <c r="E6" s="25">
        <f t="shared" ref="E6:E9" si="5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27.1</v>
      </c>
      <c r="D7" s="24">
        <f t="shared" si="4"/>
        <v>27.1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0</v>
      </c>
      <c r="D8" s="24">
        <f t="shared" si="4"/>
        <v>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26</v>
      </c>
      <c r="B11" s="30" t="s">
        <v>27</v>
      </c>
      <c r="C11" s="10"/>
      <c r="D11" s="2" t="s">
        <v>28</v>
      </c>
      <c r="E11" s="7">
        <f>F6+F7+F8+F9+D27</f>
        <v>0</v>
      </c>
      <c r="H11" s="31">
        <v>45597.0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-2351.02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2351.02</v>
      </c>
      <c r="C13" s="35">
        <v>0.0</v>
      </c>
      <c r="D13" s="24">
        <f t="shared" ref="D13:D14" si="6">B13-C13</f>
        <v>2351.02</v>
      </c>
      <c r="E13" s="36">
        <f t="shared" ref="E13:E14" si="7">I13</f>
        <v>0</v>
      </c>
      <c r="F13" s="24">
        <f t="shared" ref="F13:F14" si="8">B13-E13</f>
        <v>2351.02</v>
      </c>
      <c r="G13" s="37">
        <f>H13-C2</f>
        <v>10</v>
      </c>
      <c r="H13" s="38">
        <f>F21</f>
        <v>45603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>
        <f>H14-C2</f>
        <v>10</v>
      </c>
      <c r="H14" s="38">
        <f>F23</f>
        <v>45603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2351.02</v>
      </c>
      <c r="C15" s="35">
        <f t="shared" si="11"/>
        <v>0</v>
      </c>
      <c r="D15" s="24">
        <f t="shared" si="11"/>
        <v>2351.02</v>
      </c>
      <c r="E15" s="36">
        <f t="shared" si="11"/>
        <v>0</v>
      </c>
      <c r="F15" s="40">
        <f t="shared" si="11"/>
        <v>2351.02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0.0</v>
      </c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0.0</v>
      </c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0.0</v>
      </c>
      <c r="D19" s="11"/>
      <c r="E19" s="2" t="s">
        <v>50</v>
      </c>
      <c r="F19" s="51">
        <f>H11</f>
        <v>45597</v>
      </c>
      <c r="G19" s="11">
        <f>F19-E23</f>
        <v>4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0.0</v>
      </c>
      <c r="D20" s="11"/>
      <c r="E20" s="1"/>
      <c r="F20" s="11"/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0.0</v>
      </c>
      <c r="D21" s="11"/>
      <c r="E21" s="1"/>
      <c r="F21" s="57">
        <v>45603.0</v>
      </c>
      <c r="G21" s="58" t="str">
        <f>IMSUB(F21,E23)</f>
        <v>10</v>
      </c>
      <c r="H21" s="59" t="s">
        <v>58</v>
      </c>
      <c r="I21" s="60" t="s">
        <v>59</v>
      </c>
      <c r="J21" s="39">
        <f t="shared" ref="J21:J22" si="13">D25</f>
        <v>1088.62</v>
      </c>
      <c r="K21" s="58" t="str">
        <f t="shared" ref="K21:K23" si="14">IF(J21 =L21, "Paid", "Owed")</f>
        <v>Paid</v>
      </c>
      <c r="L21" s="39">
        <f t="shared" ref="L21:L22" si="15">D25</f>
        <v>1088.62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0.0</v>
      </c>
      <c r="D22" s="11"/>
      <c r="E22" s="1"/>
      <c r="F22" s="11"/>
      <c r="G22" s="53" t="s">
        <v>55</v>
      </c>
      <c r="H22" s="54" t="s">
        <v>56</v>
      </c>
      <c r="I22" s="55" t="s">
        <v>60</v>
      </c>
      <c r="J22" s="56">
        <f t="shared" si="13"/>
        <v>682</v>
      </c>
      <c r="K22" s="53" t="str">
        <f t="shared" si="14"/>
        <v>Paid</v>
      </c>
      <c r="L22" s="39">
        <f t="shared" si="15"/>
        <v>682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0.0</v>
      </c>
      <c r="D23" s="11"/>
      <c r="E23" s="38">
        <f>C2</f>
        <v>45593</v>
      </c>
      <c r="F23" s="62">
        <v>45603.0</v>
      </c>
      <c r="G23" s="58" t="str">
        <f>IMSUB(F23,E23)</f>
        <v>10</v>
      </c>
      <c r="H23" s="59" t="s">
        <v>61</v>
      </c>
      <c r="I23" s="39" t="s">
        <v>62</v>
      </c>
      <c r="J23" s="20">
        <f>SUM(J20:J22)</f>
        <v>1770.62</v>
      </c>
      <c r="K23" s="58" t="str">
        <f t="shared" si="14"/>
        <v>Paid</v>
      </c>
      <c r="L23" s="39">
        <f>SUM(L20:L22)</f>
        <v>1770.62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0.0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0.0</v>
      </c>
      <c r="C25" s="4" t="str">
        <f t="shared" ref="C25:C26" si="16">I21</f>
        <v>Mortgage</v>
      </c>
      <c r="D25" s="63">
        <v>1088.62</v>
      </c>
      <c r="E25" s="5">
        <f t="shared" ref="E25:E29" si="17">C$2</f>
        <v>45593</v>
      </c>
      <c r="G25" s="14" t="s">
        <v>65</v>
      </c>
      <c r="H25" s="68">
        <f>F2</f>
        <v>500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0.0</v>
      </c>
      <c r="C26" s="4" t="str">
        <f t="shared" si="16"/>
        <v>HOA</v>
      </c>
      <c r="D26" s="63">
        <v>682.0</v>
      </c>
      <c r="E26" s="5">
        <f t="shared" si="17"/>
        <v>45593</v>
      </c>
      <c r="H26" s="72">
        <f>G2</f>
        <v>0</v>
      </c>
      <c r="I26" s="73">
        <f>G17+C3+F2-I15-M50+E11</f>
        <v>500</v>
      </c>
      <c r="J26" s="73">
        <f>G17+C3+C8+F2-M50</f>
        <v>500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0.0</v>
      </c>
      <c r="C27" s="4" t="str">
        <f t="shared" ref="C27:C29" si="18">B6</f>
        <v>Vacation Savings</v>
      </c>
      <c r="D27" s="63">
        <v>0.0</v>
      </c>
      <c r="E27" s="5">
        <f t="shared" si="17"/>
        <v>45593</v>
      </c>
      <c r="G27" s="16" t="s">
        <v>70</v>
      </c>
      <c r="H27" s="76">
        <f>SUM(H25:H26)</f>
        <v>500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0.0</v>
      </c>
      <c r="C28" s="4" t="str">
        <f t="shared" si="18"/>
        <v>Emergency Savings</v>
      </c>
      <c r="D28" s="24">
        <v>27.1</v>
      </c>
      <c r="E28" s="5">
        <f t="shared" si="17"/>
        <v>45593</v>
      </c>
      <c r="G28" s="11" t="s">
        <v>72</v>
      </c>
      <c r="H28" s="77">
        <f>H27-D30</f>
        <v>-1297.72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0.0</v>
      </c>
      <c r="E29" s="5">
        <f t="shared" si="17"/>
        <v>45593</v>
      </c>
      <c r="G29" s="2" t="s">
        <v>73</v>
      </c>
      <c r="H29" s="78">
        <f>H27+G17</f>
        <v>500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1797.72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500</v>
      </c>
      <c r="O34" s="37">
        <f>N34/Q50</f>
        <v>125</v>
      </c>
      <c r="P34" s="37">
        <f>O34/Q50</f>
        <v>31.25</v>
      </c>
      <c r="Q34" s="37">
        <f>P34/Q50</f>
        <v>7.8125</v>
      </c>
    </row>
    <row r="35" ht="15.75" customHeight="1">
      <c r="A35" s="80" t="s">
        <v>8</v>
      </c>
      <c r="B35" s="83">
        <f>C$2</f>
        <v>45593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500</v>
      </c>
      <c r="O35" s="85">
        <f t="shared" ref="O35:O48" si="19">O34-M35/Q$50</f>
        <v>125</v>
      </c>
      <c r="P35" s="85">
        <f t="shared" ref="P35:P48" si="20">P34-M35/Q$50</f>
        <v>31.25</v>
      </c>
      <c r="Q35" s="85">
        <f t="shared" ref="Q35:Q48" si="21">Q34-M35/Q$50</f>
        <v>7.8125</v>
      </c>
    </row>
    <row r="36" ht="15.75" customHeight="1">
      <c r="A36" s="80" t="s">
        <v>89</v>
      </c>
      <c r="B36" s="83">
        <f>C$2+1</f>
        <v>45594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500</v>
      </c>
      <c r="O36" s="85">
        <f t="shared" si="19"/>
        <v>125</v>
      </c>
      <c r="P36" s="85">
        <f t="shared" si="20"/>
        <v>31.25</v>
      </c>
      <c r="Q36" s="85">
        <f t="shared" si="21"/>
        <v>7.8125</v>
      </c>
    </row>
    <row r="37" ht="15.75" customHeight="1">
      <c r="A37" s="80" t="s">
        <v>90</v>
      </c>
      <c r="B37" s="83">
        <f>C$2+3</f>
        <v>45596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500</v>
      </c>
      <c r="O37" s="85">
        <f t="shared" si="19"/>
        <v>125</v>
      </c>
      <c r="P37" s="85">
        <f t="shared" si="20"/>
        <v>31.25</v>
      </c>
      <c r="Q37" s="85">
        <f t="shared" si="21"/>
        <v>7.8125</v>
      </c>
    </row>
    <row r="38" ht="15.75" customHeight="1">
      <c r="A38" s="80" t="s">
        <v>91</v>
      </c>
      <c r="B38" s="83">
        <f>C$2+4</f>
        <v>45597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500</v>
      </c>
      <c r="O38" s="85">
        <f t="shared" si="19"/>
        <v>125</v>
      </c>
      <c r="P38" s="85">
        <f t="shared" si="20"/>
        <v>31.25</v>
      </c>
      <c r="Q38" s="85">
        <f t="shared" si="21"/>
        <v>7.8125</v>
      </c>
    </row>
    <row r="39" ht="15.75" customHeight="1">
      <c r="A39" s="80" t="s">
        <v>92</v>
      </c>
      <c r="B39" s="83">
        <f>C$2+5</f>
        <v>45598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500</v>
      </c>
      <c r="O39" s="85">
        <f t="shared" si="19"/>
        <v>125</v>
      </c>
      <c r="P39" s="85">
        <f t="shared" si="20"/>
        <v>31.25</v>
      </c>
      <c r="Q39" s="85">
        <f t="shared" si="21"/>
        <v>7.8125</v>
      </c>
    </row>
    <row r="40" ht="15.0" customHeight="1">
      <c r="A40" s="80" t="s">
        <v>93</v>
      </c>
      <c r="B40" s="83">
        <f>C$2+6</f>
        <v>45599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500</v>
      </c>
      <c r="O40" s="85">
        <f t="shared" si="19"/>
        <v>125</v>
      </c>
      <c r="P40" s="85">
        <f t="shared" si="20"/>
        <v>31.25</v>
      </c>
      <c r="Q40" s="85">
        <f t="shared" si="21"/>
        <v>7.8125</v>
      </c>
    </row>
    <row r="41" ht="12.0" customHeight="1">
      <c r="A41" s="80" t="s">
        <v>94</v>
      </c>
      <c r="B41" s="83">
        <f>C$2+7</f>
        <v>45600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500</v>
      </c>
      <c r="O41" s="85">
        <f t="shared" si="19"/>
        <v>125</v>
      </c>
      <c r="P41" s="85">
        <f t="shared" si="20"/>
        <v>31.25</v>
      </c>
      <c r="Q41" s="85">
        <f t="shared" si="21"/>
        <v>7.8125</v>
      </c>
    </row>
    <row r="42" ht="15.75" customHeight="1">
      <c r="A42" s="80" t="s">
        <v>8</v>
      </c>
      <c r="B42" s="83">
        <f>C$2+8</f>
        <v>45601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500</v>
      </c>
      <c r="O42" s="85">
        <f t="shared" si="19"/>
        <v>125</v>
      </c>
      <c r="P42" s="85">
        <f t="shared" si="20"/>
        <v>31.25</v>
      </c>
      <c r="Q42" s="85">
        <f t="shared" si="21"/>
        <v>7.8125</v>
      </c>
    </row>
    <row r="43" ht="15.75" customHeight="1">
      <c r="A43" s="80" t="s">
        <v>89</v>
      </c>
      <c r="B43" s="83">
        <f>C$2+9</f>
        <v>45602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500</v>
      </c>
      <c r="O43" s="85">
        <f t="shared" si="19"/>
        <v>125</v>
      </c>
      <c r="P43" s="85">
        <f t="shared" si="20"/>
        <v>31.25</v>
      </c>
      <c r="Q43" s="85">
        <f t="shared" si="21"/>
        <v>7.8125</v>
      </c>
    </row>
    <row r="44" ht="15.75" customHeight="1">
      <c r="A44" s="80" t="s">
        <v>90</v>
      </c>
      <c r="B44" s="83">
        <f>C$2+10</f>
        <v>45603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500</v>
      </c>
      <c r="O44" s="85">
        <f t="shared" si="19"/>
        <v>125</v>
      </c>
      <c r="P44" s="85">
        <f t="shared" si="20"/>
        <v>31.25</v>
      </c>
      <c r="Q44" s="85">
        <f t="shared" si="21"/>
        <v>7.8125</v>
      </c>
    </row>
    <row r="45" ht="15.75" customHeight="1">
      <c r="A45" s="80" t="s">
        <v>91</v>
      </c>
      <c r="B45" s="83">
        <f>C$2+11</f>
        <v>45604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500</v>
      </c>
      <c r="O45" s="85">
        <f t="shared" si="19"/>
        <v>125</v>
      </c>
      <c r="P45" s="85">
        <f t="shared" si="20"/>
        <v>31.25</v>
      </c>
      <c r="Q45" s="85">
        <f t="shared" si="21"/>
        <v>7.8125</v>
      </c>
    </row>
    <row r="46" ht="15.75" customHeight="1">
      <c r="A46" s="80" t="s">
        <v>92</v>
      </c>
      <c r="B46" s="83">
        <f>C$2+12</f>
        <v>45605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500</v>
      </c>
      <c r="O46" s="85">
        <f t="shared" si="19"/>
        <v>125</v>
      </c>
      <c r="P46" s="85">
        <f t="shared" si="20"/>
        <v>31.25</v>
      </c>
      <c r="Q46" s="85">
        <f t="shared" si="21"/>
        <v>7.8125</v>
      </c>
    </row>
    <row r="47" ht="15.75" customHeight="1">
      <c r="A47" s="80" t="s">
        <v>93</v>
      </c>
      <c r="B47" s="83">
        <f>C$2+13</f>
        <v>45606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500</v>
      </c>
      <c r="O47" s="85">
        <f t="shared" si="19"/>
        <v>125</v>
      </c>
      <c r="P47" s="85">
        <f t="shared" si="20"/>
        <v>31.25</v>
      </c>
      <c r="Q47" s="85">
        <f t="shared" si="21"/>
        <v>7.8125</v>
      </c>
    </row>
    <row r="48" ht="15.75" customHeight="1">
      <c r="A48" s="80" t="s">
        <v>94</v>
      </c>
      <c r="B48" s="83">
        <f>C$2+14</f>
        <v>45607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500</v>
      </c>
      <c r="O48" s="85">
        <f t="shared" si="19"/>
        <v>125</v>
      </c>
      <c r="P48" s="85">
        <f t="shared" si="20"/>
        <v>31.25</v>
      </c>
      <c r="Q48" s="85">
        <f t="shared" si="21"/>
        <v>7.8125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>
        <f>(N34-M50)/Q50</f>
        <v>125</v>
      </c>
      <c r="P50" s="88">
        <f>100% -N50</f>
        <v>0</v>
      </c>
      <c r="Q50" s="16">
        <f>G19</f>
        <v>4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8</v>
      </c>
      <c r="C2" s="5">
        <v>45586.0</v>
      </c>
      <c r="D2" s="6">
        <v>0.4166666666666667</v>
      </c>
      <c r="E2" s="7">
        <f>C4+C6+C7+C8</f>
        <v>2022.87</v>
      </c>
      <c r="F2" s="8">
        <v>444.93</v>
      </c>
      <c r="G2" s="9">
        <f>D3</f>
        <v>810.38</v>
      </c>
      <c r="H2" s="10">
        <v>0.0</v>
      </c>
      <c r="I2" s="10">
        <f>E2+G2</f>
        <v>2833.25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-2439.62</v>
      </c>
      <c r="D3" s="13">
        <v>810.38</v>
      </c>
      <c r="E3" s="3"/>
      <c r="F3" s="10">
        <f>-F2+500</f>
        <v>55.07</v>
      </c>
      <c r="G3" s="10">
        <f>E2</f>
        <v>2022.87</v>
      </c>
      <c r="I3" s="10">
        <f>F2+C9</f>
        <v>444.93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1712.87</v>
      </c>
      <c r="D4" s="16" t="s">
        <v>14</v>
      </c>
      <c r="E4" s="17" t="s">
        <v>15</v>
      </c>
      <c r="F4" s="18">
        <f>F3+F2</f>
        <v>500</v>
      </c>
      <c r="G4" s="18">
        <f>G2+G3</f>
        <v>2833.25</v>
      </c>
      <c r="I4" s="19">
        <f>SUM(I2:I3)</f>
        <v>3278.18</v>
      </c>
      <c r="J4" s="20">
        <f>B12+I4+G17</f>
        <v>28.18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45601</v>
      </c>
    </row>
    <row r="5">
      <c r="A5" s="1"/>
      <c r="B5" s="2" t="s">
        <v>18</v>
      </c>
      <c r="C5" s="10">
        <f>SUM(D5:E5)-E11</f>
        <v>254.39</v>
      </c>
      <c r="D5" s="24">
        <v>226.74</v>
      </c>
      <c r="E5" s="25">
        <v>37.65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10</v>
      </c>
      <c r="D6" s="24">
        <f t="shared" ref="D6:D8" si="4">0+D27</f>
        <v>10</v>
      </c>
      <c r="E6" s="25">
        <f t="shared" ref="E6:E9" si="5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200</v>
      </c>
      <c r="D7" s="24">
        <f t="shared" si="4"/>
        <v>200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100</v>
      </c>
      <c r="D8" s="24">
        <f t="shared" si="4"/>
        <v>100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-2439.62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26</v>
      </c>
      <c r="B11" s="30" t="s">
        <v>27</v>
      </c>
      <c r="C11" s="10"/>
      <c r="D11" s="2" t="s">
        <v>28</v>
      </c>
      <c r="E11" s="7">
        <f>F6+F7+F8+F9+D27</f>
        <v>10</v>
      </c>
      <c r="H11" s="31">
        <v>45601.0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-3250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750.0</v>
      </c>
      <c r="C13" s="35">
        <v>750.0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750</v>
      </c>
      <c r="G13" s="37">
        <f>H13-C2</f>
        <v>6</v>
      </c>
      <c r="H13" s="38">
        <f>F21</f>
        <v>45592</v>
      </c>
      <c r="I13" s="24">
        <v>0.0</v>
      </c>
      <c r="J13" s="25">
        <f t="shared" ref="J13:J14" si="9">L13</f>
        <v>750</v>
      </c>
      <c r="K13" s="11" t="s">
        <v>41</v>
      </c>
      <c r="L13" s="24">
        <f t="shared" ref="L13:L14" si="10">C13</f>
        <v>750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2500.0</v>
      </c>
      <c r="C14" s="35">
        <v>2500.0</v>
      </c>
      <c r="D14" s="24">
        <f t="shared" si="6"/>
        <v>0</v>
      </c>
      <c r="E14" s="36">
        <f t="shared" si="7"/>
        <v>0</v>
      </c>
      <c r="F14" s="24">
        <f t="shared" si="8"/>
        <v>2500</v>
      </c>
      <c r="G14" s="37">
        <f>H14-C2</f>
        <v>17</v>
      </c>
      <c r="H14" s="38">
        <f>F23</f>
        <v>45603</v>
      </c>
      <c r="I14" s="24">
        <v>0.0</v>
      </c>
      <c r="J14" s="25">
        <f t="shared" si="9"/>
        <v>2500</v>
      </c>
      <c r="K14" s="11" t="s">
        <v>41</v>
      </c>
      <c r="L14" s="24">
        <f t="shared" si="10"/>
        <v>2500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3250</v>
      </c>
      <c r="C15" s="35">
        <f t="shared" si="11"/>
        <v>3250</v>
      </c>
      <c r="D15" s="24">
        <f t="shared" si="11"/>
        <v>0</v>
      </c>
      <c r="E15" s="36">
        <f t="shared" si="11"/>
        <v>0</v>
      </c>
      <c r="F15" s="40">
        <f t="shared" si="11"/>
        <v>3250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3250</v>
      </c>
      <c r="K15" s="11" t="s">
        <v>41</v>
      </c>
      <c r="L15" s="24">
        <f>SUM(L13:L14)</f>
        <v>3250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2609.77</v>
      </c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2609.77</v>
      </c>
      <c r="C18" s="16" t="str">
        <f>IF(B28&gt;B17,"Increase","Decrease")</f>
        <v>Increase</v>
      </c>
      <c r="D18" s="50">
        <f>B28-B17</f>
        <v>1.23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2608.05</v>
      </c>
      <c r="D19" s="11"/>
      <c r="E19" s="2" t="s">
        <v>50</v>
      </c>
      <c r="F19" s="51">
        <f>H11</f>
        <v>45601</v>
      </c>
      <c r="G19" s="11">
        <f>F19-E23</f>
        <v>15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2608.05</v>
      </c>
      <c r="D20" s="11"/>
      <c r="E20" s="1"/>
      <c r="F20" s="11"/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Owed</v>
      </c>
      <c r="L20" s="39">
        <f>L15</f>
        <v>3250</v>
      </c>
      <c r="M20" s="21" t="str">
        <f t="shared" si="1"/>
        <v>&lt;---------------------&gt;</v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2611.0</v>
      </c>
      <c r="D21" s="11"/>
      <c r="E21" s="1"/>
      <c r="F21" s="89">
        <v>45592.0</v>
      </c>
      <c r="G21" s="58" t="str">
        <f>IMSUB(F21,E23)</f>
        <v>6</v>
      </c>
      <c r="H21" s="59" t="s">
        <v>58</v>
      </c>
      <c r="I21" s="60" t="s">
        <v>59</v>
      </c>
      <c r="J21" s="39">
        <f t="shared" ref="J21:J22" si="13">D25</f>
        <v>1088</v>
      </c>
      <c r="K21" s="58" t="str">
        <f t="shared" ref="K21:K23" si="14">IF(J21 =L21, "Paid", "Owed")</f>
        <v>Paid</v>
      </c>
      <c r="L21" s="39">
        <f t="shared" ref="L21:L22" si="15">D25</f>
        <v>1088</v>
      </c>
      <c r="M21" s="21" t="str">
        <f t="shared" si="1"/>
        <v>&lt;---------------------&gt;</v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2611.0</v>
      </c>
      <c r="D22" s="11"/>
      <c r="E22" s="1"/>
      <c r="F22" s="11"/>
      <c r="G22" s="53" t="s">
        <v>55</v>
      </c>
      <c r="H22" s="54" t="s">
        <v>56</v>
      </c>
      <c r="I22" s="55" t="s">
        <v>60</v>
      </c>
      <c r="J22" s="56">
        <f t="shared" si="13"/>
        <v>624.87</v>
      </c>
      <c r="K22" s="53" t="str">
        <f t="shared" si="14"/>
        <v>Paid</v>
      </c>
      <c r="L22" s="39">
        <f t="shared" si="15"/>
        <v>624.87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2611.0</v>
      </c>
      <c r="D23" s="11"/>
      <c r="E23" s="38">
        <f>C2</f>
        <v>45586</v>
      </c>
      <c r="F23" s="90">
        <v>45603.0</v>
      </c>
      <c r="G23" s="58" t="str">
        <f>IMSUB(F23,E23)</f>
        <v>17</v>
      </c>
      <c r="H23" s="59" t="s">
        <v>61</v>
      </c>
      <c r="I23" s="39" t="s">
        <v>62</v>
      </c>
      <c r="J23" s="20">
        <f>SUM(J20:J22)</f>
        <v>1712.87</v>
      </c>
      <c r="K23" s="58" t="str">
        <f t="shared" si="14"/>
        <v>Owed</v>
      </c>
      <c r="L23" s="39">
        <f>SUM(L20:L22)</f>
        <v>4962.87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2611.0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2611.0</v>
      </c>
      <c r="C25" s="4" t="str">
        <f t="shared" ref="C25:C26" si="16">I21</f>
        <v>Mortgage</v>
      </c>
      <c r="D25" s="63">
        <v>1088.0</v>
      </c>
      <c r="E25" s="5">
        <f t="shared" ref="E25:E29" si="17">C$2</f>
        <v>45586</v>
      </c>
      <c r="G25" s="14" t="s">
        <v>65</v>
      </c>
      <c r="H25" s="68">
        <f>F2</f>
        <v>444.93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2611.0</v>
      </c>
      <c r="C26" s="4" t="str">
        <f t="shared" si="16"/>
        <v>HOA</v>
      </c>
      <c r="D26" s="63">
        <v>624.87</v>
      </c>
      <c r="E26" s="5">
        <f t="shared" si="17"/>
        <v>45586</v>
      </c>
      <c r="H26" s="72">
        <f>G2</f>
        <v>810.38</v>
      </c>
      <c r="I26" s="73">
        <f>G17+C3+F2-I15-M50+E11</f>
        <v>-1984.69</v>
      </c>
      <c r="J26" s="73">
        <f>G17+C3+C8+F2-M50</f>
        <v>-1894.69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2611.0</v>
      </c>
      <c r="C27" s="4" t="str">
        <f t="shared" ref="C27:C29" si="18">B6</f>
        <v>Vacation Savings</v>
      </c>
      <c r="D27" s="63">
        <v>10.0</v>
      </c>
      <c r="E27" s="5">
        <f t="shared" si="17"/>
        <v>45586</v>
      </c>
      <c r="G27" s="16" t="s">
        <v>70</v>
      </c>
      <c r="H27" s="76">
        <f>SUM(H25:H26)</f>
        <v>1255.31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2611.0</v>
      </c>
      <c r="C28" s="4" t="str">
        <f t="shared" si="18"/>
        <v>Emergency Savings</v>
      </c>
      <c r="D28" s="24">
        <v>200.0</v>
      </c>
      <c r="E28" s="5">
        <f t="shared" si="17"/>
        <v>45586</v>
      </c>
      <c r="G28" s="11" t="s">
        <v>72</v>
      </c>
      <c r="H28" s="77">
        <f>H27-D30</f>
        <v>-767.56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100.0</v>
      </c>
      <c r="E29" s="5">
        <f t="shared" si="17"/>
        <v>45586</v>
      </c>
      <c r="G29" s="2" t="s">
        <v>73</v>
      </c>
      <c r="H29" s="78">
        <f>H27+G17</f>
        <v>1255.31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2022.87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-1984.69</v>
      </c>
      <c r="O34" s="37">
        <f>N34/Q50</f>
        <v>-132.3126667</v>
      </c>
      <c r="P34" s="37">
        <f>O34/Q50</f>
        <v>-8.820844444</v>
      </c>
      <c r="Q34" s="37">
        <f>P34/Q50</f>
        <v>-0.5880562963</v>
      </c>
    </row>
    <row r="35" ht="15.75" customHeight="1">
      <c r="A35" s="80" t="s">
        <v>8</v>
      </c>
      <c r="B35" s="83">
        <f>C$2</f>
        <v>45586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-1984.69</v>
      </c>
      <c r="O35" s="85">
        <f t="shared" ref="O35:O48" si="19">O34-M35/Q$50</f>
        <v>-132.3126667</v>
      </c>
      <c r="P35" s="85">
        <f t="shared" ref="P35:P48" si="20">P34-M35/Q$50</f>
        <v>-8.820844444</v>
      </c>
      <c r="Q35" s="85">
        <f t="shared" ref="Q35:Q48" si="21">Q34-M35/Q$50</f>
        <v>-0.5880562963</v>
      </c>
    </row>
    <row r="36" ht="15.75" customHeight="1">
      <c r="A36" s="80" t="s">
        <v>89</v>
      </c>
      <c r="B36" s="83">
        <f>C$2+1</f>
        <v>45587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-1984.69</v>
      </c>
      <c r="O36" s="85">
        <f t="shared" si="19"/>
        <v>-132.3126667</v>
      </c>
      <c r="P36" s="85">
        <f t="shared" si="20"/>
        <v>-8.820844444</v>
      </c>
      <c r="Q36" s="85">
        <f t="shared" si="21"/>
        <v>-0.5880562963</v>
      </c>
    </row>
    <row r="37" ht="15.75" customHeight="1">
      <c r="A37" s="80" t="s">
        <v>90</v>
      </c>
      <c r="B37" s="83">
        <f>C$2+3</f>
        <v>45589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-1984.69</v>
      </c>
      <c r="O37" s="85">
        <f t="shared" si="19"/>
        <v>-132.3126667</v>
      </c>
      <c r="P37" s="85">
        <f t="shared" si="20"/>
        <v>-8.820844444</v>
      </c>
      <c r="Q37" s="85">
        <f t="shared" si="21"/>
        <v>-0.5880562963</v>
      </c>
    </row>
    <row r="38" ht="15.75" customHeight="1">
      <c r="A38" s="80" t="s">
        <v>91</v>
      </c>
      <c r="B38" s="83">
        <f>C$2+4</f>
        <v>45590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-1984.69</v>
      </c>
      <c r="O38" s="85">
        <f t="shared" si="19"/>
        <v>-132.3126667</v>
      </c>
      <c r="P38" s="85">
        <f t="shared" si="20"/>
        <v>-8.820844444</v>
      </c>
      <c r="Q38" s="85">
        <f t="shared" si="21"/>
        <v>-0.5880562963</v>
      </c>
    </row>
    <row r="39" ht="15.75" customHeight="1">
      <c r="A39" s="80" t="s">
        <v>92</v>
      </c>
      <c r="B39" s="83">
        <f>C$2+5</f>
        <v>45591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-1984.69</v>
      </c>
      <c r="O39" s="85">
        <f t="shared" si="19"/>
        <v>-132.3126667</v>
      </c>
      <c r="P39" s="85">
        <f t="shared" si="20"/>
        <v>-8.820844444</v>
      </c>
      <c r="Q39" s="85">
        <f t="shared" si="21"/>
        <v>-0.5880562963</v>
      </c>
    </row>
    <row r="40" ht="15.0" customHeight="1">
      <c r="A40" s="80" t="s">
        <v>93</v>
      </c>
      <c r="B40" s="83">
        <f>C$2+6</f>
        <v>45592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-1984.69</v>
      </c>
      <c r="O40" s="85">
        <f t="shared" si="19"/>
        <v>-132.3126667</v>
      </c>
      <c r="P40" s="85">
        <f t="shared" si="20"/>
        <v>-8.820844444</v>
      </c>
      <c r="Q40" s="85">
        <f t="shared" si="21"/>
        <v>-0.5880562963</v>
      </c>
    </row>
    <row r="41" ht="12.0" customHeight="1">
      <c r="A41" s="80" t="s">
        <v>94</v>
      </c>
      <c r="B41" s="83">
        <f>C$2+7</f>
        <v>45593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-1984.69</v>
      </c>
      <c r="O41" s="85">
        <f t="shared" si="19"/>
        <v>-132.3126667</v>
      </c>
      <c r="P41" s="85">
        <f t="shared" si="20"/>
        <v>-8.820844444</v>
      </c>
      <c r="Q41" s="85">
        <f t="shared" si="21"/>
        <v>-0.5880562963</v>
      </c>
    </row>
    <row r="42" ht="15.75" customHeight="1">
      <c r="A42" s="80" t="s">
        <v>8</v>
      </c>
      <c r="B42" s="83">
        <f>C$2+8</f>
        <v>45594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-1984.69</v>
      </c>
      <c r="O42" s="85">
        <f t="shared" si="19"/>
        <v>-132.3126667</v>
      </c>
      <c r="P42" s="85">
        <f t="shared" si="20"/>
        <v>-8.820844444</v>
      </c>
      <c r="Q42" s="85">
        <f t="shared" si="21"/>
        <v>-0.5880562963</v>
      </c>
    </row>
    <row r="43" ht="15.75" customHeight="1">
      <c r="A43" s="80" t="s">
        <v>89</v>
      </c>
      <c r="B43" s="83">
        <f>C$2+9</f>
        <v>45595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-1984.69</v>
      </c>
      <c r="O43" s="85">
        <f t="shared" si="19"/>
        <v>-132.3126667</v>
      </c>
      <c r="P43" s="85">
        <f t="shared" si="20"/>
        <v>-8.820844444</v>
      </c>
      <c r="Q43" s="85">
        <f t="shared" si="21"/>
        <v>-0.5880562963</v>
      </c>
    </row>
    <row r="44" ht="15.75" customHeight="1">
      <c r="A44" s="80" t="s">
        <v>90</v>
      </c>
      <c r="B44" s="83">
        <f>C$2+10</f>
        <v>45596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-1984.69</v>
      </c>
      <c r="O44" s="85">
        <f t="shared" si="19"/>
        <v>-132.3126667</v>
      </c>
      <c r="P44" s="85">
        <f t="shared" si="20"/>
        <v>-8.820844444</v>
      </c>
      <c r="Q44" s="85">
        <f t="shared" si="21"/>
        <v>-0.5880562963</v>
      </c>
    </row>
    <row r="45" ht="15.75" customHeight="1">
      <c r="A45" s="80" t="s">
        <v>91</v>
      </c>
      <c r="B45" s="83">
        <f>C$2+11</f>
        <v>45597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-1984.69</v>
      </c>
      <c r="O45" s="85">
        <f t="shared" si="19"/>
        <v>-132.3126667</v>
      </c>
      <c r="P45" s="85">
        <f t="shared" si="20"/>
        <v>-8.820844444</v>
      </c>
      <c r="Q45" s="85">
        <f t="shared" si="21"/>
        <v>-0.5880562963</v>
      </c>
    </row>
    <row r="46" ht="15.75" customHeight="1">
      <c r="A46" s="80" t="s">
        <v>92</v>
      </c>
      <c r="B46" s="83">
        <f>C$2+12</f>
        <v>45598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-1984.69</v>
      </c>
      <c r="O46" s="85">
        <f t="shared" si="19"/>
        <v>-132.3126667</v>
      </c>
      <c r="P46" s="85">
        <f t="shared" si="20"/>
        <v>-8.820844444</v>
      </c>
      <c r="Q46" s="85">
        <f t="shared" si="21"/>
        <v>-0.5880562963</v>
      </c>
    </row>
    <row r="47" ht="15.75" customHeight="1">
      <c r="A47" s="80" t="s">
        <v>93</v>
      </c>
      <c r="B47" s="83">
        <f>C$2+13</f>
        <v>45599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-1984.69</v>
      </c>
      <c r="O47" s="85">
        <f t="shared" si="19"/>
        <v>-132.3126667</v>
      </c>
      <c r="P47" s="85">
        <f t="shared" si="20"/>
        <v>-8.820844444</v>
      </c>
      <c r="Q47" s="85">
        <f t="shared" si="21"/>
        <v>-0.5880562963</v>
      </c>
    </row>
    <row r="48" ht="15.75" customHeight="1">
      <c r="A48" s="80" t="s">
        <v>94</v>
      </c>
      <c r="B48" s="83">
        <f>C$2+14</f>
        <v>45600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-1984.69</v>
      </c>
      <c r="O48" s="85">
        <f t="shared" si="19"/>
        <v>-132.3126667</v>
      </c>
      <c r="P48" s="85">
        <f t="shared" si="20"/>
        <v>-8.820844444</v>
      </c>
      <c r="Q48" s="85">
        <f t="shared" si="21"/>
        <v>-0.5880562963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-1.58103576</v>
      </c>
      <c r="O50" s="37">
        <f>(N34-M50)/Q50</f>
        <v>-132.3126667</v>
      </c>
      <c r="P50" s="88">
        <f>100% -N50</f>
        <v>2.58103576</v>
      </c>
      <c r="Q50" s="16">
        <f>G19</f>
        <v>15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89</v>
      </c>
      <c r="C2" s="5">
        <v>45580.0</v>
      </c>
      <c r="D2" s="6" t="s">
        <v>99</v>
      </c>
      <c r="E2" s="7">
        <f>C4+C6+C7+C8</f>
        <v>634.87</v>
      </c>
      <c r="F2" s="8">
        <v>300.51</v>
      </c>
      <c r="G2" s="9">
        <f>D3</f>
        <v>0</v>
      </c>
      <c r="H2" s="10">
        <v>0.0</v>
      </c>
      <c r="I2" s="10">
        <f>E2+G2</f>
        <v>634.87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-3250</v>
      </c>
      <c r="D3" s="13">
        <v>0.0</v>
      </c>
      <c r="E3" s="3"/>
      <c r="F3" s="10">
        <f>-F2+500</f>
        <v>199.49</v>
      </c>
      <c r="G3" s="10">
        <f>E2</f>
        <v>634.87</v>
      </c>
      <c r="I3" s="10">
        <f>F2+C9</f>
        <v>300.51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624.87</v>
      </c>
      <c r="D4" s="16" t="s">
        <v>14</v>
      </c>
      <c r="E4" s="17" t="s">
        <v>15</v>
      </c>
      <c r="F4" s="18">
        <f>F3+F2</f>
        <v>500</v>
      </c>
      <c r="G4" s="18">
        <f>G2+G3</f>
        <v>634.87</v>
      </c>
      <c r="I4" s="19">
        <f>SUM(I2:I3)</f>
        <v>935.38</v>
      </c>
      <c r="J4" s="20">
        <f>B12+I4+G17</f>
        <v>-2314.62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45586</v>
      </c>
    </row>
    <row r="5">
      <c r="A5" s="1"/>
      <c r="B5" s="2" t="s">
        <v>18</v>
      </c>
      <c r="C5" s="10">
        <f>SUM(D5:E5)-E11</f>
        <v>254.39</v>
      </c>
      <c r="D5" s="24">
        <v>226.74</v>
      </c>
      <c r="E5" s="25">
        <v>37.65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10</v>
      </c>
      <c r="D6" s="24">
        <f t="shared" ref="D6:D8" si="4">0+D27</f>
        <v>10</v>
      </c>
      <c r="E6" s="25">
        <f t="shared" ref="E6:E9" si="5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0</v>
      </c>
      <c r="D7" s="24">
        <f t="shared" si="4"/>
        <v>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0</v>
      </c>
      <c r="D8" s="24">
        <f t="shared" si="4"/>
        <v>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-3250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26</v>
      </c>
      <c r="B11" s="30" t="s">
        <v>27</v>
      </c>
      <c r="C11" s="10"/>
      <c r="D11" s="2" t="s">
        <v>28</v>
      </c>
      <c r="E11" s="7">
        <f>F6+F7+F8+F9+D27</f>
        <v>10</v>
      </c>
      <c r="H11" s="31">
        <v>45586.0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-3250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750.0</v>
      </c>
      <c r="C13" s="35">
        <v>750.0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750</v>
      </c>
      <c r="G13" s="37">
        <f>H13-C2</f>
        <v>12</v>
      </c>
      <c r="H13" s="38">
        <f>F21</f>
        <v>45592</v>
      </c>
      <c r="I13" s="24">
        <v>0.0</v>
      </c>
      <c r="J13" s="25">
        <f t="shared" ref="J13:J14" si="9">L13</f>
        <v>750</v>
      </c>
      <c r="K13" s="11" t="s">
        <v>41</v>
      </c>
      <c r="L13" s="24">
        <f t="shared" ref="L13:L14" si="10">C13</f>
        <v>750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2500.0</v>
      </c>
      <c r="C14" s="35">
        <v>2500.0</v>
      </c>
      <c r="D14" s="24">
        <f t="shared" si="6"/>
        <v>0</v>
      </c>
      <c r="E14" s="36">
        <f t="shared" si="7"/>
        <v>0</v>
      </c>
      <c r="F14" s="24">
        <f t="shared" si="8"/>
        <v>2500</v>
      </c>
      <c r="G14" s="37">
        <f>H14-C2</f>
        <v>23</v>
      </c>
      <c r="H14" s="38">
        <f>F23</f>
        <v>45603</v>
      </c>
      <c r="I14" s="24">
        <v>0.0</v>
      </c>
      <c r="J14" s="25">
        <f t="shared" si="9"/>
        <v>2500</v>
      </c>
      <c r="K14" s="11" t="s">
        <v>41</v>
      </c>
      <c r="L14" s="24">
        <f t="shared" si="10"/>
        <v>2500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3250</v>
      </c>
      <c r="C15" s="35">
        <f t="shared" si="11"/>
        <v>3250</v>
      </c>
      <c r="D15" s="24">
        <f t="shared" si="11"/>
        <v>0</v>
      </c>
      <c r="E15" s="36">
        <f t="shared" si="11"/>
        <v>0</v>
      </c>
      <c r="F15" s="40">
        <f t="shared" si="11"/>
        <v>3250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3250</v>
      </c>
      <c r="K15" s="11" t="s">
        <v>41</v>
      </c>
      <c r="L15" s="24">
        <f>SUM(L13:L14)</f>
        <v>3250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45586</v>
      </c>
      <c r="G19" s="11">
        <f>F19-E23</f>
        <v>6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6.0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Owed</v>
      </c>
      <c r="L20" s="39">
        <f>L15</f>
        <v>3250</v>
      </c>
      <c r="M20" s="21" t="str">
        <f t="shared" si="1"/>
        <v>&lt;---------------------&gt;</v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45592</v>
      </c>
      <c r="G21" s="58" t="str">
        <f>IMSUB(F23,F21)</f>
        <v>11</v>
      </c>
      <c r="H21" s="59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"Owed")</f>
        <v>Paid</v>
      </c>
      <c r="L21" s="39">
        <f t="shared" ref="L21:L22" si="15">D25</f>
        <v>0</v>
      </c>
      <c r="M21" s="21" t="str">
        <f t="shared" si="1"/>
        <v>&lt;---------------------&gt;</v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11.0</v>
      </c>
      <c r="G22" s="53" t="s">
        <v>55</v>
      </c>
      <c r="H22" s="54" t="s">
        <v>56</v>
      </c>
      <c r="I22" s="55" t="s">
        <v>60</v>
      </c>
      <c r="J22" s="56">
        <f t="shared" si="13"/>
        <v>624.87</v>
      </c>
      <c r="K22" s="53" t="str">
        <f t="shared" si="14"/>
        <v>Paid</v>
      </c>
      <c r="L22" s="39">
        <f t="shared" si="15"/>
        <v>624.87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45580</v>
      </c>
      <c r="F23" s="90">
        <f>SUM(F21:F22)</f>
        <v>45603</v>
      </c>
      <c r="G23" s="58" t="str">
        <f>IMSUB(F23,E23)</f>
        <v>23</v>
      </c>
      <c r="H23" s="59" t="s">
        <v>61</v>
      </c>
      <c r="I23" s="39" t="s">
        <v>62</v>
      </c>
      <c r="J23" s="20">
        <f>SUM(J20:J22)</f>
        <v>624.87</v>
      </c>
      <c r="K23" s="58" t="str">
        <f t="shared" si="14"/>
        <v>Owed</v>
      </c>
      <c r="L23" s="39">
        <f>SUM(L20:L22)</f>
        <v>3874.87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>&lt;</v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>&lt;</v>
      </c>
      <c r="Q24" s="32"/>
    </row>
    <row r="25" ht="36.75" customHeight="1">
      <c r="A25" s="2">
        <v>8.0</v>
      </c>
      <c r="B25" s="45"/>
      <c r="C25" s="4" t="str">
        <f t="shared" ref="C25:C26" si="16">I21</f>
        <v>Mortgage</v>
      </c>
      <c r="D25" s="63">
        <v>0.0</v>
      </c>
      <c r="E25" s="5">
        <f t="shared" ref="E25:E29" si="17">C$2</f>
        <v>45580</v>
      </c>
      <c r="G25" s="14" t="s">
        <v>65</v>
      </c>
      <c r="H25" s="68">
        <f>F2</f>
        <v>300.51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>&lt;</v>
      </c>
      <c r="Q25" s="32"/>
    </row>
    <row r="26" ht="15.75" customHeight="1">
      <c r="A26" s="2">
        <v>9.0</v>
      </c>
      <c r="B26" s="45"/>
      <c r="C26" s="4" t="str">
        <f t="shared" si="16"/>
        <v>HOA</v>
      </c>
      <c r="D26" s="63">
        <v>624.87</v>
      </c>
      <c r="E26" s="5">
        <f t="shared" si="17"/>
        <v>45580</v>
      </c>
      <c r="H26" s="72">
        <f>G2</f>
        <v>0</v>
      </c>
      <c r="I26" s="73">
        <f>G17+C3+F2-I15-M50+E11</f>
        <v>-2939.49</v>
      </c>
      <c r="J26" s="73">
        <f>G17+C3+C8+F2-M50</f>
        <v>-2949.49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>&lt;</v>
      </c>
      <c r="Q26" s="32"/>
    </row>
    <row r="27" ht="15.75" customHeight="1">
      <c r="A27" s="2">
        <v>10.0</v>
      </c>
      <c r="B27" s="45"/>
      <c r="C27" s="4" t="str">
        <f t="shared" ref="C27:C29" si="18">B6</f>
        <v>Vacation Savings</v>
      </c>
      <c r="D27" s="63">
        <v>10.0</v>
      </c>
      <c r="E27" s="5">
        <f t="shared" si="17"/>
        <v>45580</v>
      </c>
      <c r="G27" s="16" t="s">
        <v>70</v>
      </c>
      <c r="H27" s="76">
        <f>SUM(H25:H26)</f>
        <v>300.51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>&lt;</v>
      </c>
      <c r="Q27" s="32"/>
    </row>
    <row r="28" ht="15.75" customHeight="1">
      <c r="A28" s="4" t="s">
        <v>71</v>
      </c>
      <c r="B28" s="45"/>
      <c r="C28" s="4" t="str">
        <f t="shared" si="18"/>
        <v>Emergency Savings</v>
      </c>
      <c r="D28" s="24">
        <v>0.0</v>
      </c>
      <c r="E28" s="5">
        <f t="shared" si="17"/>
        <v>45580</v>
      </c>
      <c r="G28" s="11" t="s">
        <v>72</v>
      </c>
      <c r="H28" s="77">
        <f>H27-D30</f>
        <v>-334.36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>&lt;</v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0.0</v>
      </c>
      <c r="E29" s="5">
        <f t="shared" si="17"/>
        <v>45580</v>
      </c>
      <c r="G29" s="2" t="s">
        <v>73</v>
      </c>
      <c r="H29" s="78">
        <f>H27+G17</f>
        <v>300.51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>&lt;</v>
      </c>
      <c r="Q29" s="32"/>
    </row>
    <row r="30" ht="15.75" customHeight="1">
      <c r="C30" s="4" t="s">
        <v>70</v>
      </c>
      <c r="D30" s="24">
        <f>SUM(D25:D28)</f>
        <v>634.87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-2939.49</v>
      </c>
      <c r="O34" s="37">
        <f>N34/Q50</f>
        <v>-489.915</v>
      </c>
      <c r="P34" s="37">
        <f>O34/Q50</f>
        <v>-81.6525</v>
      </c>
      <c r="Q34" s="37">
        <f>P34/Q50</f>
        <v>-13.60875</v>
      </c>
    </row>
    <row r="35" ht="15.75" customHeight="1">
      <c r="A35" s="80" t="s">
        <v>8</v>
      </c>
      <c r="B35" s="83">
        <f>C$2</f>
        <v>45580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-2939.49</v>
      </c>
      <c r="O35" s="85">
        <f t="shared" ref="O35:O48" si="19">O34-M35/Q$50</f>
        <v>-489.915</v>
      </c>
      <c r="P35" s="85">
        <f t="shared" ref="P35:P48" si="20">P34-M35/Q$50</f>
        <v>-81.6525</v>
      </c>
      <c r="Q35" s="85">
        <f t="shared" ref="Q35:Q48" si="21">Q34-M35/Q$50</f>
        <v>-13.60875</v>
      </c>
    </row>
    <row r="36" ht="15.75" customHeight="1">
      <c r="A36" s="80" t="s">
        <v>89</v>
      </c>
      <c r="B36" s="83">
        <f>C$2+1</f>
        <v>45581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-2939.49</v>
      </c>
      <c r="O36" s="85">
        <f t="shared" si="19"/>
        <v>-489.915</v>
      </c>
      <c r="P36" s="85">
        <f t="shared" si="20"/>
        <v>-81.6525</v>
      </c>
      <c r="Q36" s="85">
        <f t="shared" si="21"/>
        <v>-13.60875</v>
      </c>
    </row>
    <row r="37" ht="15.75" customHeight="1">
      <c r="A37" s="80" t="s">
        <v>90</v>
      </c>
      <c r="B37" s="83">
        <f>C$2+3</f>
        <v>45583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-2939.49</v>
      </c>
      <c r="O37" s="85">
        <f t="shared" si="19"/>
        <v>-489.915</v>
      </c>
      <c r="P37" s="85">
        <f t="shared" si="20"/>
        <v>-81.6525</v>
      </c>
      <c r="Q37" s="85">
        <f t="shared" si="21"/>
        <v>-13.60875</v>
      </c>
    </row>
    <row r="38" ht="15.75" customHeight="1">
      <c r="A38" s="80" t="s">
        <v>91</v>
      </c>
      <c r="B38" s="83">
        <f>C$2+4</f>
        <v>45584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-2939.49</v>
      </c>
      <c r="O38" s="85">
        <f t="shared" si="19"/>
        <v>-489.915</v>
      </c>
      <c r="P38" s="85">
        <f t="shared" si="20"/>
        <v>-81.6525</v>
      </c>
      <c r="Q38" s="85">
        <f t="shared" si="21"/>
        <v>-13.60875</v>
      </c>
    </row>
    <row r="39" ht="15.75" customHeight="1">
      <c r="A39" s="80" t="s">
        <v>92</v>
      </c>
      <c r="B39" s="83">
        <f>C$2+5</f>
        <v>45585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-2939.49</v>
      </c>
      <c r="O39" s="85">
        <f t="shared" si="19"/>
        <v>-489.915</v>
      </c>
      <c r="P39" s="85">
        <f t="shared" si="20"/>
        <v>-81.6525</v>
      </c>
      <c r="Q39" s="85">
        <f t="shared" si="21"/>
        <v>-13.60875</v>
      </c>
    </row>
    <row r="40" ht="15.0" customHeight="1">
      <c r="A40" s="80" t="s">
        <v>93</v>
      </c>
      <c r="B40" s="83">
        <f>C$2+6</f>
        <v>45586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-2939.49</v>
      </c>
      <c r="O40" s="85">
        <f t="shared" si="19"/>
        <v>-489.915</v>
      </c>
      <c r="P40" s="85">
        <f t="shared" si="20"/>
        <v>-81.6525</v>
      </c>
      <c r="Q40" s="85">
        <f t="shared" si="21"/>
        <v>-13.60875</v>
      </c>
    </row>
    <row r="41" ht="12.0" customHeight="1">
      <c r="A41" s="80" t="s">
        <v>94</v>
      </c>
      <c r="B41" s="83">
        <f>C$2+7</f>
        <v>45587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-2939.49</v>
      </c>
      <c r="O41" s="85">
        <f t="shared" si="19"/>
        <v>-489.915</v>
      </c>
      <c r="P41" s="85">
        <f t="shared" si="20"/>
        <v>-81.6525</v>
      </c>
      <c r="Q41" s="85">
        <f t="shared" si="21"/>
        <v>-13.60875</v>
      </c>
    </row>
    <row r="42" ht="15.75" customHeight="1">
      <c r="A42" s="80" t="s">
        <v>8</v>
      </c>
      <c r="B42" s="83">
        <f>C$2+8</f>
        <v>45588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-2939.49</v>
      </c>
      <c r="O42" s="85">
        <f t="shared" si="19"/>
        <v>-489.915</v>
      </c>
      <c r="P42" s="85">
        <f t="shared" si="20"/>
        <v>-81.6525</v>
      </c>
      <c r="Q42" s="85">
        <f t="shared" si="21"/>
        <v>-13.60875</v>
      </c>
    </row>
    <row r="43" ht="15.75" customHeight="1">
      <c r="A43" s="80" t="s">
        <v>89</v>
      </c>
      <c r="B43" s="83">
        <f>C$2+9</f>
        <v>45589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-2939.49</v>
      </c>
      <c r="O43" s="85">
        <f t="shared" si="19"/>
        <v>-489.915</v>
      </c>
      <c r="P43" s="85">
        <f t="shared" si="20"/>
        <v>-81.6525</v>
      </c>
      <c r="Q43" s="85">
        <f t="shared" si="21"/>
        <v>-13.60875</v>
      </c>
    </row>
    <row r="44" ht="15.75" customHeight="1">
      <c r="A44" s="80" t="s">
        <v>90</v>
      </c>
      <c r="B44" s="83">
        <f>C$2+10</f>
        <v>45590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-2939.49</v>
      </c>
      <c r="O44" s="85">
        <f t="shared" si="19"/>
        <v>-489.915</v>
      </c>
      <c r="P44" s="85">
        <f t="shared" si="20"/>
        <v>-81.6525</v>
      </c>
      <c r="Q44" s="85">
        <f t="shared" si="21"/>
        <v>-13.60875</v>
      </c>
    </row>
    <row r="45" ht="15.75" customHeight="1">
      <c r="A45" s="80" t="s">
        <v>91</v>
      </c>
      <c r="B45" s="83">
        <f>C$2+11</f>
        <v>45591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-2939.49</v>
      </c>
      <c r="O45" s="85">
        <f t="shared" si="19"/>
        <v>-489.915</v>
      </c>
      <c r="P45" s="85">
        <f t="shared" si="20"/>
        <v>-81.6525</v>
      </c>
      <c r="Q45" s="85">
        <f t="shared" si="21"/>
        <v>-13.60875</v>
      </c>
    </row>
    <row r="46" ht="15.75" customHeight="1">
      <c r="A46" s="80" t="s">
        <v>92</v>
      </c>
      <c r="B46" s="83">
        <f>C$2+12</f>
        <v>45592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-2939.49</v>
      </c>
      <c r="O46" s="85">
        <f t="shared" si="19"/>
        <v>-489.915</v>
      </c>
      <c r="P46" s="85">
        <f t="shared" si="20"/>
        <v>-81.6525</v>
      </c>
      <c r="Q46" s="85">
        <f t="shared" si="21"/>
        <v>-13.60875</v>
      </c>
    </row>
    <row r="47" ht="15.75" customHeight="1">
      <c r="A47" s="80" t="s">
        <v>93</v>
      </c>
      <c r="B47" s="83">
        <f>C$2+13</f>
        <v>45593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-2939.49</v>
      </c>
      <c r="O47" s="85">
        <f t="shared" si="19"/>
        <v>-489.915</v>
      </c>
      <c r="P47" s="85">
        <f t="shared" si="20"/>
        <v>-81.6525</v>
      </c>
      <c r="Q47" s="85">
        <f t="shared" si="21"/>
        <v>-13.60875</v>
      </c>
    </row>
    <row r="48" ht="15.75" customHeight="1">
      <c r="A48" s="80" t="s">
        <v>94</v>
      </c>
      <c r="B48" s="83">
        <f>C$2+14</f>
        <v>45594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-2939.49</v>
      </c>
      <c r="O48" s="85">
        <f t="shared" si="19"/>
        <v>-489.915</v>
      </c>
      <c r="P48" s="85">
        <f t="shared" si="20"/>
        <v>-81.6525</v>
      </c>
      <c r="Q48" s="85">
        <f t="shared" si="21"/>
        <v>-13.60875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-9.781671159</v>
      </c>
      <c r="O50" s="37">
        <f>(N34-M50)/Q50</f>
        <v>-489.915</v>
      </c>
      <c r="P50" s="88">
        <f>100% -N50</f>
        <v>10.78167116</v>
      </c>
      <c r="Q50" s="16">
        <f>G19</f>
        <v>6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91</v>
      </c>
      <c r="C2" s="5">
        <v>45575.0</v>
      </c>
      <c r="D2" s="6" t="s">
        <v>99</v>
      </c>
      <c r="E2" s="7">
        <f>C4+C6+C7+C8</f>
        <v>1280.78</v>
      </c>
      <c r="F2" s="8">
        <v>22.88</v>
      </c>
      <c r="G2" s="9">
        <f>D3</f>
        <v>54.85</v>
      </c>
      <c r="H2" s="10">
        <v>0.0</v>
      </c>
      <c r="I2" s="10">
        <f>E2+G2</f>
        <v>1335.63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-3281.34</v>
      </c>
      <c r="D3" s="13">
        <v>54.85</v>
      </c>
      <c r="E3" s="3"/>
      <c r="F3" s="10">
        <f>-F2+500</f>
        <v>477.12</v>
      </c>
      <c r="G3" s="10">
        <f>E2</f>
        <v>1280.78</v>
      </c>
      <c r="I3" s="10">
        <f>F2+C9</f>
        <v>22.88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682</v>
      </c>
      <c r="D4" s="16" t="s">
        <v>14</v>
      </c>
      <c r="E4" s="17" t="s">
        <v>15</v>
      </c>
      <c r="F4" s="18">
        <f>F3+F2</f>
        <v>500</v>
      </c>
      <c r="G4" s="18">
        <f>G2+G3</f>
        <v>1335.63</v>
      </c>
      <c r="I4" s="19">
        <f>SUM(I2:I3)</f>
        <v>1358.51</v>
      </c>
      <c r="J4" s="20">
        <f>B12+I4+G17</f>
        <v>-1977.68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45586</v>
      </c>
    </row>
    <row r="5">
      <c r="A5" s="1"/>
      <c r="B5" s="2" t="s">
        <v>18</v>
      </c>
      <c r="C5" s="10">
        <f>SUM(D5:E5)-E11</f>
        <v>254.39</v>
      </c>
      <c r="D5" s="24">
        <v>226.74</v>
      </c>
      <c r="E5" s="25">
        <v>37.65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10</v>
      </c>
      <c r="D6" s="24">
        <f t="shared" ref="D6:D8" si="4">0+D27</f>
        <v>10</v>
      </c>
      <c r="E6" s="25">
        <f t="shared" ref="E6:E9" si="5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88.78</v>
      </c>
      <c r="D7" s="24">
        <f t="shared" si="4"/>
        <v>88.78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500</v>
      </c>
      <c r="D8" s="24">
        <f t="shared" si="4"/>
        <v>500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-3281.34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7">
        <f>F6+F7+F8+F9+D27</f>
        <v>10</v>
      </c>
      <c r="H11" s="31">
        <v>45586.0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-3336.19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799.01</v>
      </c>
      <c r="C13" s="35">
        <v>799.01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799.01</v>
      </c>
      <c r="G13" s="37">
        <f>H13-C2</f>
        <v>17</v>
      </c>
      <c r="H13" s="38">
        <f>F21</f>
        <v>45592</v>
      </c>
      <c r="I13" s="24">
        <v>0.0</v>
      </c>
      <c r="J13" s="25">
        <f t="shared" ref="J13:J14" si="9">L13</f>
        <v>799.01</v>
      </c>
      <c r="K13" s="11" t="s">
        <v>41</v>
      </c>
      <c r="L13" s="24">
        <f t="shared" ref="L13:L14" si="10">C13</f>
        <v>799.01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2537.18</v>
      </c>
      <c r="C14" s="35">
        <v>2537.18</v>
      </c>
      <c r="D14" s="24">
        <f t="shared" si="6"/>
        <v>0</v>
      </c>
      <c r="E14" s="36">
        <f t="shared" si="7"/>
        <v>0</v>
      </c>
      <c r="F14" s="24">
        <f t="shared" si="8"/>
        <v>2537.18</v>
      </c>
      <c r="G14" s="37">
        <f>H14-C2</f>
        <v>28</v>
      </c>
      <c r="H14" s="38">
        <f>F23</f>
        <v>45603</v>
      </c>
      <c r="I14" s="24">
        <v>0.0</v>
      </c>
      <c r="J14" s="25">
        <f t="shared" si="9"/>
        <v>2537.18</v>
      </c>
      <c r="K14" s="11" t="s">
        <v>41</v>
      </c>
      <c r="L14" s="24">
        <f t="shared" si="10"/>
        <v>2537.18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3336.19</v>
      </c>
      <c r="C15" s="35">
        <f t="shared" si="11"/>
        <v>3336.19</v>
      </c>
      <c r="D15" s="24">
        <f t="shared" si="11"/>
        <v>0</v>
      </c>
      <c r="E15" s="36">
        <f t="shared" si="11"/>
        <v>0</v>
      </c>
      <c r="F15" s="40">
        <f t="shared" si="11"/>
        <v>3336.19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3336.19</v>
      </c>
      <c r="K15" s="11" t="s">
        <v>41</v>
      </c>
      <c r="L15" s="24">
        <f>SUM(L13:L14)</f>
        <v>3336.19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45586</v>
      </c>
      <c r="G19" s="11">
        <f>F19-E23</f>
        <v>11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>&lt;---------------------&gt;</v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6.0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Owed</v>
      </c>
      <c r="L20" s="39">
        <f>L15</f>
        <v>3336.19</v>
      </c>
      <c r="M20" s="21" t="str">
        <f t="shared" si="1"/>
        <v>&lt;---------------------&gt;</v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45592</v>
      </c>
      <c r="G21" s="58" t="str">
        <f>IMSUB(F23,F21)</f>
        <v>11</v>
      </c>
      <c r="H21" s="59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"Owed")</f>
        <v>Paid</v>
      </c>
      <c r="L21" s="39">
        <f t="shared" ref="L21:L22" si="15">D25</f>
        <v>0</v>
      </c>
      <c r="M21" s="21" t="str">
        <f t="shared" si="1"/>
        <v>&lt;---------------------&gt;</v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11.0</v>
      </c>
      <c r="G22" s="53" t="s">
        <v>55</v>
      </c>
      <c r="H22" s="54" t="s">
        <v>56</v>
      </c>
      <c r="I22" s="55" t="s">
        <v>60</v>
      </c>
      <c r="J22" s="56">
        <f t="shared" si="13"/>
        <v>682</v>
      </c>
      <c r="K22" s="53" t="str">
        <f t="shared" si="14"/>
        <v>Paid</v>
      </c>
      <c r="L22" s="39">
        <f t="shared" si="15"/>
        <v>682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45575</v>
      </c>
      <c r="F23" s="90">
        <f>SUM(F21:F22)</f>
        <v>45603</v>
      </c>
      <c r="G23" s="58" t="str">
        <f>IMSUB(F23,E23)</f>
        <v>28</v>
      </c>
      <c r="H23" s="59" t="s">
        <v>61</v>
      </c>
      <c r="I23" s="39" t="s">
        <v>101</v>
      </c>
      <c r="J23" s="20">
        <f>SUM(J20:J22)</f>
        <v>682</v>
      </c>
      <c r="K23" s="58" t="str">
        <f t="shared" si="14"/>
        <v>Owed</v>
      </c>
      <c r="L23" s="39">
        <f>SUM(L20:L22)</f>
        <v>4018.19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>&lt;</v>
      </c>
      <c r="Q24" s="32"/>
    </row>
    <row r="25" ht="36.75" customHeight="1">
      <c r="A25" s="2">
        <v>8.0</v>
      </c>
      <c r="B25" s="45"/>
      <c r="C25" s="4" t="str">
        <f t="shared" ref="C25:C26" si="16">I21</f>
        <v>Mortgage</v>
      </c>
      <c r="D25" s="63">
        <v>0.0</v>
      </c>
      <c r="E25" s="5">
        <f t="shared" ref="E25:E29" si="17">C$2</f>
        <v>45575</v>
      </c>
      <c r="G25" s="14" t="s">
        <v>65</v>
      </c>
      <c r="H25" s="68">
        <f>F2</f>
        <v>22.88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>&lt;</v>
      </c>
      <c r="Q25" s="32"/>
    </row>
    <row r="26" ht="15.75" customHeight="1">
      <c r="A26" s="2">
        <v>9.0</v>
      </c>
      <c r="B26" s="45"/>
      <c r="C26" s="4" t="str">
        <f t="shared" si="16"/>
        <v>HOA</v>
      </c>
      <c r="D26" s="63">
        <v>682.0</v>
      </c>
      <c r="E26" s="5">
        <f t="shared" si="17"/>
        <v>45575</v>
      </c>
      <c r="H26" s="72">
        <f>G2</f>
        <v>54.85</v>
      </c>
      <c r="I26" s="73">
        <f>G17+C3+F2-I15-M50+E11</f>
        <v>-3248.46</v>
      </c>
      <c r="J26" s="73">
        <f>G17+C3+C8+F2-M50</f>
        <v>-2758.46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>&lt;</v>
      </c>
      <c r="Q26" s="32"/>
    </row>
    <row r="27" ht="15.75" customHeight="1">
      <c r="A27" s="2">
        <v>10.0</v>
      </c>
      <c r="B27" s="45"/>
      <c r="C27" s="4" t="str">
        <f t="shared" ref="C27:C29" si="18">B6</f>
        <v>Vacation Savings</v>
      </c>
      <c r="D27" s="63">
        <v>10.0</v>
      </c>
      <c r="E27" s="5">
        <f t="shared" si="17"/>
        <v>45575</v>
      </c>
      <c r="G27" s="16" t="s">
        <v>70</v>
      </c>
      <c r="H27" s="76">
        <f>SUM(H25:H26)</f>
        <v>77.73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>&lt;</v>
      </c>
      <c r="Q27" s="32"/>
    </row>
    <row r="28" ht="15.75" customHeight="1">
      <c r="A28" s="4" t="s">
        <v>71</v>
      </c>
      <c r="B28" s="45"/>
      <c r="C28" s="4" t="str">
        <f t="shared" si="18"/>
        <v>Emergency Savings</v>
      </c>
      <c r="D28" s="24">
        <v>88.78</v>
      </c>
      <c r="E28" s="5">
        <f t="shared" si="17"/>
        <v>45575</v>
      </c>
      <c r="G28" s="11" t="s">
        <v>72</v>
      </c>
      <c r="H28" s="77">
        <f>H27-D30</f>
        <v>-703.05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>&lt;</v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500.0</v>
      </c>
      <c r="E29" s="5">
        <f t="shared" si="17"/>
        <v>45575</v>
      </c>
      <c r="G29" s="2" t="s">
        <v>73</v>
      </c>
      <c r="H29" s="78">
        <f>H27+G17</f>
        <v>77.73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>&lt;</v>
      </c>
      <c r="Q29" s="32"/>
    </row>
    <row r="30" ht="15.75" customHeight="1">
      <c r="C30" s="4" t="s">
        <v>70</v>
      </c>
      <c r="D30" s="24">
        <f>SUM(D25:D28)</f>
        <v>780.78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-3248.46</v>
      </c>
      <c r="O34" s="37">
        <f>N34/Q50</f>
        <v>-295.3145455</v>
      </c>
      <c r="P34" s="37">
        <f>O34/Q50</f>
        <v>-26.84677686</v>
      </c>
      <c r="Q34" s="37">
        <f>P34/Q50</f>
        <v>-2.440616078</v>
      </c>
    </row>
    <row r="35" ht="15.75" customHeight="1">
      <c r="A35" s="80" t="s">
        <v>8</v>
      </c>
      <c r="B35" s="83">
        <f>C$2</f>
        <v>45575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-3248.46</v>
      </c>
      <c r="O35" s="85">
        <f t="shared" ref="O35:O48" si="19">O34-M35/Q$50</f>
        <v>-295.3145455</v>
      </c>
      <c r="P35" s="85">
        <f t="shared" ref="P35:P48" si="20">P34-M35/Q$50</f>
        <v>-26.84677686</v>
      </c>
      <c r="Q35" s="85">
        <f t="shared" ref="Q35:Q48" si="21">Q34-M35/Q$50</f>
        <v>-2.440616078</v>
      </c>
    </row>
    <row r="36" ht="15.75" customHeight="1">
      <c r="A36" s="80" t="s">
        <v>89</v>
      </c>
      <c r="B36" s="83">
        <f>C$2+1</f>
        <v>45576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-3248.46</v>
      </c>
      <c r="O36" s="85">
        <f t="shared" si="19"/>
        <v>-295.3145455</v>
      </c>
      <c r="P36" s="85">
        <f t="shared" si="20"/>
        <v>-26.84677686</v>
      </c>
      <c r="Q36" s="85">
        <f t="shared" si="21"/>
        <v>-2.440616078</v>
      </c>
    </row>
    <row r="37" ht="15.75" customHeight="1">
      <c r="A37" s="80" t="s">
        <v>90</v>
      </c>
      <c r="B37" s="83">
        <f>C$2+3</f>
        <v>45578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-3248.46</v>
      </c>
      <c r="O37" s="85">
        <f t="shared" si="19"/>
        <v>-295.3145455</v>
      </c>
      <c r="P37" s="85">
        <f t="shared" si="20"/>
        <v>-26.84677686</v>
      </c>
      <c r="Q37" s="85">
        <f t="shared" si="21"/>
        <v>-2.440616078</v>
      </c>
    </row>
    <row r="38" ht="15.75" customHeight="1">
      <c r="A38" s="80" t="s">
        <v>91</v>
      </c>
      <c r="B38" s="83">
        <f>C$2+4</f>
        <v>45579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-3248.46</v>
      </c>
      <c r="O38" s="85">
        <f t="shared" si="19"/>
        <v>-295.3145455</v>
      </c>
      <c r="P38" s="85">
        <f t="shared" si="20"/>
        <v>-26.84677686</v>
      </c>
      <c r="Q38" s="85">
        <f t="shared" si="21"/>
        <v>-2.440616078</v>
      </c>
    </row>
    <row r="39" ht="15.75" customHeight="1">
      <c r="A39" s="80" t="s">
        <v>92</v>
      </c>
      <c r="B39" s="83">
        <f>C$2+5</f>
        <v>45580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-3248.46</v>
      </c>
      <c r="O39" s="85">
        <f t="shared" si="19"/>
        <v>-295.3145455</v>
      </c>
      <c r="P39" s="85">
        <f t="shared" si="20"/>
        <v>-26.84677686</v>
      </c>
      <c r="Q39" s="85">
        <f t="shared" si="21"/>
        <v>-2.440616078</v>
      </c>
    </row>
    <row r="40" ht="15.0" customHeight="1">
      <c r="A40" s="80" t="s">
        <v>93</v>
      </c>
      <c r="B40" s="83">
        <f>C$2+6</f>
        <v>45581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-3248.46</v>
      </c>
      <c r="O40" s="85">
        <f t="shared" si="19"/>
        <v>-295.3145455</v>
      </c>
      <c r="P40" s="85">
        <f t="shared" si="20"/>
        <v>-26.84677686</v>
      </c>
      <c r="Q40" s="85">
        <f t="shared" si="21"/>
        <v>-2.440616078</v>
      </c>
    </row>
    <row r="41" ht="12.0" customHeight="1">
      <c r="A41" s="80" t="s">
        <v>94</v>
      </c>
      <c r="B41" s="83">
        <f>C$2+7</f>
        <v>45582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-3248.46</v>
      </c>
      <c r="O41" s="85">
        <f t="shared" si="19"/>
        <v>-295.3145455</v>
      </c>
      <c r="P41" s="85">
        <f t="shared" si="20"/>
        <v>-26.84677686</v>
      </c>
      <c r="Q41" s="85">
        <f t="shared" si="21"/>
        <v>-2.440616078</v>
      </c>
    </row>
    <row r="42" ht="15.75" customHeight="1">
      <c r="A42" s="80" t="s">
        <v>8</v>
      </c>
      <c r="B42" s="83">
        <f>C$2+8</f>
        <v>45583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-3248.46</v>
      </c>
      <c r="O42" s="85">
        <f t="shared" si="19"/>
        <v>-295.3145455</v>
      </c>
      <c r="P42" s="85">
        <f t="shared" si="20"/>
        <v>-26.84677686</v>
      </c>
      <c r="Q42" s="85">
        <f t="shared" si="21"/>
        <v>-2.440616078</v>
      </c>
    </row>
    <row r="43" ht="15.75" customHeight="1">
      <c r="A43" s="80" t="s">
        <v>89</v>
      </c>
      <c r="B43" s="83">
        <f>C$2+9</f>
        <v>45584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-3248.46</v>
      </c>
      <c r="O43" s="85">
        <f t="shared" si="19"/>
        <v>-295.3145455</v>
      </c>
      <c r="P43" s="85">
        <f t="shared" si="20"/>
        <v>-26.84677686</v>
      </c>
      <c r="Q43" s="85">
        <f t="shared" si="21"/>
        <v>-2.440616078</v>
      </c>
    </row>
    <row r="44" ht="15.75" customHeight="1">
      <c r="A44" s="80" t="s">
        <v>90</v>
      </c>
      <c r="B44" s="83">
        <f>C$2+10</f>
        <v>45585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-3248.46</v>
      </c>
      <c r="O44" s="85">
        <f t="shared" si="19"/>
        <v>-295.3145455</v>
      </c>
      <c r="P44" s="85">
        <f t="shared" si="20"/>
        <v>-26.84677686</v>
      </c>
      <c r="Q44" s="85">
        <f t="shared" si="21"/>
        <v>-2.440616078</v>
      </c>
    </row>
    <row r="45" ht="15.75" customHeight="1">
      <c r="A45" s="80" t="s">
        <v>91</v>
      </c>
      <c r="B45" s="83">
        <f>C$2+11</f>
        <v>45586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-3248.46</v>
      </c>
      <c r="O45" s="85">
        <f t="shared" si="19"/>
        <v>-295.3145455</v>
      </c>
      <c r="P45" s="85">
        <f t="shared" si="20"/>
        <v>-26.84677686</v>
      </c>
      <c r="Q45" s="85">
        <f t="shared" si="21"/>
        <v>-2.440616078</v>
      </c>
    </row>
    <row r="46" ht="15.75" customHeight="1">
      <c r="A46" s="80" t="s">
        <v>92</v>
      </c>
      <c r="B46" s="83">
        <f>C$2+12</f>
        <v>45587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-3248.46</v>
      </c>
      <c r="O46" s="85">
        <f t="shared" si="19"/>
        <v>-295.3145455</v>
      </c>
      <c r="P46" s="85">
        <f t="shared" si="20"/>
        <v>-26.84677686</v>
      </c>
      <c r="Q46" s="85">
        <f t="shared" si="21"/>
        <v>-2.440616078</v>
      </c>
    </row>
    <row r="47" ht="15.75" customHeight="1">
      <c r="A47" s="80" t="s">
        <v>93</v>
      </c>
      <c r="B47" s="83">
        <f>C$2+13</f>
        <v>45588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-3248.46</v>
      </c>
      <c r="O47" s="85">
        <f t="shared" si="19"/>
        <v>-295.3145455</v>
      </c>
      <c r="P47" s="85">
        <f t="shared" si="20"/>
        <v>-26.84677686</v>
      </c>
      <c r="Q47" s="85">
        <f t="shared" si="21"/>
        <v>-2.440616078</v>
      </c>
    </row>
    <row r="48" ht="15.75" customHeight="1">
      <c r="A48" s="80" t="s">
        <v>94</v>
      </c>
      <c r="B48" s="83">
        <f>C$2+14</f>
        <v>45589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-3248.46</v>
      </c>
      <c r="O48" s="85">
        <f t="shared" si="19"/>
        <v>-295.3145455</v>
      </c>
      <c r="P48" s="85">
        <f t="shared" si="20"/>
        <v>-26.84677686</v>
      </c>
      <c r="Q48" s="85">
        <f t="shared" si="21"/>
        <v>-2.440616078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-41.79158626</v>
      </c>
      <c r="O50" s="37">
        <f>(N34-M50)/Q50</f>
        <v>-295.3145455</v>
      </c>
      <c r="P50" s="88">
        <f>100% -N50</f>
        <v>42.79158626</v>
      </c>
      <c r="Q50" s="16">
        <f>G19</f>
        <v>11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89</v>
      </c>
      <c r="C2" s="5">
        <v>45573.0</v>
      </c>
      <c r="D2" s="6">
        <v>0.4166666666666667</v>
      </c>
      <c r="E2" s="7">
        <f>C4+C6+C7+C8</f>
        <v>1282</v>
      </c>
      <c r="F2" s="8">
        <v>78.46</v>
      </c>
      <c r="G2" s="9">
        <f>C3</f>
        <v>97.85</v>
      </c>
      <c r="H2" s="10">
        <v>0.0</v>
      </c>
      <c r="I2" s="10">
        <f>E2+G2</f>
        <v>1379.85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97.85</v>
      </c>
      <c r="D3" s="13">
        <v>97.85</v>
      </c>
      <c r="E3" s="3"/>
      <c r="F3" s="10">
        <f>-F2+500</f>
        <v>421.54</v>
      </c>
      <c r="G3" s="10">
        <f>E2</f>
        <v>1282</v>
      </c>
      <c r="I3" s="10">
        <f>F2+C9</f>
        <v>78.46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682</v>
      </c>
      <c r="D4" s="16" t="s">
        <v>14</v>
      </c>
      <c r="E4" s="17" t="s">
        <v>15</v>
      </c>
      <c r="F4" s="18">
        <f>F3+F2</f>
        <v>500</v>
      </c>
      <c r="G4" s="18">
        <f>G2+G3</f>
        <v>1379.85</v>
      </c>
      <c r="I4" s="19">
        <f>SUM(I2:I3)</f>
        <v>1458.31</v>
      </c>
      <c r="J4" s="20">
        <f>B12+I4+G17</f>
        <v>1458.31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45586</v>
      </c>
    </row>
    <row r="5">
      <c r="A5" s="1"/>
      <c r="B5" s="2" t="s">
        <v>18</v>
      </c>
      <c r="C5" s="10">
        <f>SUM(D5:E5)-E11</f>
        <v>264.39</v>
      </c>
      <c r="D5" s="24">
        <v>226.74</v>
      </c>
      <c r="E5" s="25">
        <v>37.65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0</v>
      </c>
      <c r="D6" s="24">
        <v>0.0</v>
      </c>
      <c r="E6" s="25">
        <f t="shared" ref="E6:E9" si="4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100</v>
      </c>
      <c r="D7" s="24">
        <f t="shared" ref="D7:D8" si="5">0+D28</f>
        <v>100</v>
      </c>
      <c r="E7" s="25">
        <f t="shared" si="4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500</v>
      </c>
      <c r="D8" s="24">
        <f t="shared" si="5"/>
        <v>500</v>
      </c>
      <c r="E8" s="25">
        <f t="shared" si="4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4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97.85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7">
        <f>F6+F7+F8+F9+D27</f>
        <v>0</v>
      </c>
      <c r="H11" s="31">
        <v>45586.0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>
        <f>H13-C2</f>
        <v>19</v>
      </c>
      <c r="H13" s="38">
        <f>F21</f>
        <v>45592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>
        <f>H14-C2</f>
        <v>30</v>
      </c>
      <c r="H14" s="38">
        <f>F23</f>
        <v>45603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0</v>
      </c>
      <c r="C15" s="35">
        <f t="shared" si="11"/>
        <v>0</v>
      </c>
      <c r="D15" s="24">
        <f t="shared" si="11"/>
        <v>0</v>
      </c>
      <c r="E15" s="36">
        <f t="shared" si="11"/>
        <v>0</v>
      </c>
      <c r="F15" s="40">
        <f t="shared" si="11"/>
        <v>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45586</v>
      </c>
      <c r="G19" s="11">
        <f>F19-E23</f>
        <v>13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6.0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45592</v>
      </c>
      <c r="G21" s="58" t="str">
        <f>IMSUB(F23,F21)</f>
        <v>11</v>
      </c>
      <c r="H21" s="17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"Owed")</f>
        <v>Paid</v>
      </c>
      <c r="L21" s="39">
        <f t="shared" ref="L21:L22" si="15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11.0</v>
      </c>
      <c r="G22" s="53" t="s">
        <v>55</v>
      </c>
      <c r="H22" s="54" t="s">
        <v>56</v>
      </c>
      <c r="I22" s="55" t="s">
        <v>60</v>
      </c>
      <c r="J22" s="56">
        <f t="shared" si="13"/>
        <v>682</v>
      </c>
      <c r="K22" s="53" t="str">
        <f t="shared" si="14"/>
        <v>Paid</v>
      </c>
      <c r="L22" s="39">
        <f t="shared" si="15"/>
        <v>682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45573</v>
      </c>
      <c r="F23" s="90">
        <f>SUM(F21:F22)</f>
        <v>45603</v>
      </c>
      <c r="G23" s="58" t="str">
        <f>IMSUB(F23,E23)</f>
        <v>30</v>
      </c>
      <c r="H23" s="17" t="s">
        <v>61</v>
      </c>
      <c r="I23" s="39" t="s">
        <v>101</v>
      </c>
      <c r="J23" s="20">
        <f>SUM(J20:J22)</f>
        <v>682</v>
      </c>
      <c r="K23" s="58" t="str">
        <f t="shared" si="14"/>
        <v>Paid</v>
      </c>
      <c r="L23" s="39">
        <f>SUM(L20:L22)</f>
        <v>682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63" t="s">
        <v>64</v>
      </c>
      <c r="I24" s="63"/>
      <c r="J24" s="3"/>
      <c r="K24" s="16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/>
      <c r="C25" s="4" t="str">
        <f t="shared" ref="C25:C26" si="16">I21</f>
        <v>Mortgage</v>
      </c>
      <c r="D25" s="63">
        <v>0.0</v>
      </c>
      <c r="E25" s="5">
        <f t="shared" ref="E25:E29" si="17">C$2</f>
        <v>45573</v>
      </c>
      <c r="G25" s="14" t="s">
        <v>65</v>
      </c>
      <c r="H25" s="40">
        <f>F2</f>
        <v>78.46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/>
      <c r="C26" s="4" t="str">
        <f t="shared" si="16"/>
        <v>HOA</v>
      </c>
      <c r="D26" s="63">
        <v>682.0</v>
      </c>
      <c r="E26" s="5">
        <f t="shared" si="17"/>
        <v>45573</v>
      </c>
      <c r="H26" s="41">
        <f>G2</f>
        <v>97.85</v>
      </c>
      <c r="I26" s="73">
        <f>G17+C3+F2-I15-M50+E11</f>
        <v>176.31</v>
      </c>
      <c r="J26" s="73">
        <f>G17+C3+C8+F2-M50</f>
        <v>676.31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/>
      <c r="C27" s="4" t="str">
        <f t="shared" ref="C27:C29" si="18">B6</f>
        <v>Vacation Savings</v>
      </c>
      <c r="D27" s="63">
        <v>0.0</v>
      </c>
      <c r="E27" s="5">
        <f t="shared" si="17"/>
        <v>45573</v>
      </c>
      <c r="G27" s="16" t="s">
        <v>70</v>
      </c>
      <c r="H27" s="24">
        <f>SUM(H25:H26)</f>
        <v>176.31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/>
      <c r="C28" s="4" t="str">
        <f t="shared" si="18"/>
        <v>Emergency Savings</v>
      </c>
      <c r="D28" s="24">
        <v>100.0</v>
      </c>
      <c r="E28" s="5">
        <f t="shared" si="17"/>
        <v>45573</v>
      </c>
      <c r="G28" s="11" t="s">
        <v>72</v>
      </c>
      <c r="H28" s="24">
        <f>H27-D30</f>
        <v>-605.69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500.0</v>
      </c>
      <c r="E29" s="5">
        <f t="shared" si="17"/>
        <v>45573</v>
      </c>
      <c r="G29" s="2" t="s">
        <v>73</v>
      </c>
      <c r="H29" s="24">
        <f>H27+G17</f>
        <v>176.31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SUM(D25:D28)</f>
        <v>782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176.31</v>
      </c>
      <c r="O34" s="37">
        <f>N34/Q50</f>
        <v>13.56230769</v>
      </c>
      <c r="P34" s="37">
        <f>O34/Q50</f>
        <v>1.043254438</v>
      </c>
      <c r="Q34" s="37">
        <f>P34/Q50</f>
        <v>0.08025034137</v>
      </c>
    </row>
    <row r="35" ht="15.75" customHeight="1">
      <c r="A35" s="80" t="s">
        <v>8</v>
      </c>
      <c r="B35" s="83">
        <f>C$2</f>
        <v>45573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176.31</v>
      </c>
      <c r="O35" s="85">
        <f t="shared" ref="O35:O48" si="19">O34-M35/Q$50</f>
        <v>13.56230769</v>
      </c>
      <c r="P35" s="85">
        <f t="shared" ref="P35:P48" si="20">P34-M35/Q$50</f>
        <v>1.043254438</v>
      </c>
      <c r="Q35" s="85">
        <f t="shared" ref="Q35:Q48" si="21">Q34-M35/Q$50</f>
        <v>0.08025034137</v>
      </c>
    </row>
    <row r="36" ht="15.75" customHeight="1">
      <c r="A36" s="80" t="s">
        <v>89</v>
      </c>
      <c r="B36" s="83">
        <f>C$2+1</f>
        <v>45574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176.31</v>
      </c>
      <c r="O36" s="85">
        <f t="shared" si="19"/>
        <v>13.56230769</v>
      </c>
      <c r="P36" s="85">
        <f t="shared" si="20"/>
        <v>1.043254438</v>
      </c>
      <c r="Q36" s="85">
        <f t="shared" si="21"/>
        <v>0.08025034137</v>
      </c>
    </row>
    <row r="37" ht="15.75" customHeight="1">
      <c r="A37" s="80" t="s">
        <v>90</v>
      </c>
      <c r="B37" s="83">
        <f>C$2+3</f>
        <v>45576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176.31</v>
      </c>
      <c r="O37" s="85">
        <f t="shared" si="19"/>
        <v>13.56230769</v>
      </c>
      <c r="P37" s="85">
        <f t="shared" si="20"/>
        <v>1.043254438</v>
      </c>
      <c r="Q37" s="85">
        <f t="shared" si="21"/>
        <v>0.08025034137</v>
      </c>
    </row>
    <row r="38" ht="15.75" customHeight="1">
      <c r="A38" s="80" t="s">
        <v>91</v>
      </c>
      <c r="B38" s="83">
        <f>C$2+4</f>
        <v>45577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176.31</v>
      </c>
      <c r="O38" s="85">
        <f t="shared" si="19"/>
        <v>13.56230769</v>
      </c>
      <c r="P38" s="85">
        <f t="shared" si="20"/>
        <v>1.043254438</v>
      </c>
      <c r="Q38" s="85">
        <f t="shared" si="21"/>
        <v>0.08025034137</v>
      </c>
    </row>
    <row r="39" ht="15.75" customHeight="1">
      <c r="A39" s="80" t="s">
        <v>92</v>
      </c>
      <c r="B39" s="83">
        <f>C$2+5</f>
        <v>45578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176.31</v>
      </c>
      <c r="O39" s="85">
        <f t="shared" si="19"/>
        <v>13.56230769</v>
      </c>
      <c r="P39" s="85">
        <f t="shared" si="20"/>
        <v>1.043254438</v>
      </c>
      <c r="Q39" s="85">
        <f t="shared" si="21"/>
        <v>0.08025034137</v>
      </c>
    </row>
    <row r="40" ht="15.0" customHeight="1">
      <c r="A40" s="80" t="s">
        <v>93</v>
      </c>
      <c r="B40" s="83">
        <f>C$2+6</f>
        <v>45579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176.31</v>
      </c>
      <c r="O40" s="85">
        <f t="shared" si="19"/>
        <v>13.56230769</v>
      </c>
      <c r="P40" s="85">
        <f t="shared" si="20"/>
        <v>1.043254438</v>
      </c>
      <c r="Q40" s="85">
        <f t="shared" si="21"/>
        <v>0.08025034137</v>
      </c>
    </row>
    <row r="41" ht="12.0" customHeight="1">
      <c r="A41" s="80" t="s">
        <v>94</v>
      </c>
      <c r="B41" s="83">
        <f>C$2+7</f>
        <v>45580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176.31</v>
      </c>
      <c r="O41" s="85">
        <f t="shared" si="19"/>
        <v>13.56230769</v>
      </c>
      <c r="P41" s="85">
        <f t="shared" si="20"/>
        <v>1.043254438</v>
      </c>
      <c r="Q41" s="85">
        <f t="shared" si="21"/>
        <v>0.08025034137</v>
      </c>
    </row>
    <row r="42" ht="15.75" customHeight="1">
      <c r="A42" s="80" t="s">
        <v>8</v>
      </c>
      <c r="B42" s="83">
        <f>C$2+8</f>
        <v>45581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176.31</v>
      </c>
      <c r="O42" s="85">
        <f t="shared" si="19"/>
        <v>13.56230769</v>
      </c>
      <c r="P42" s="85">
        <f t="shared" si="20"/>
        <v>1.043254438</v>
      </c>
      <c r="Q42" s="85">
        <f t="shared" si="21"/>
        <v>0.08025034137</v>
      </c>
    </row>
    <row r="43" ht="15.75" customHeight="1">
      <c r="A43" s="80" t="s">
        <v>89</v>
      </c>
      <c r="B43" s="83">
        <f>C$2+9</f>
        <v>45582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176.31</v>
      </c>
      <c r="O43" s="85">
        <f t="shared" si="19"/>
        <v>13.56230769</v>
      </c>
      <c r="P43" s="85">
        <f t="shared" si="20"/>
        <v>1.043254438</v>
      </c>
      <c r="Q43" s="85">
        <f t="shared" si="21"/>
        <v>0.08025034137</v>
      </c>
    </row>
    <row r="44" ht="15.75" customHeight="1">
      <c r="A44" s="80" t="s">
        <v>90</v>
      </c>
      <c r="B44" s="83">
        <f>C$2+10</f>
        <v>45583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176.31</v>
      </c>
      <c r="O44" s="85">
        <f t="shared" si="19"/>
        <v>13.56230769</v>
      </c>
      <c r="P44" s="85">
        <f t="shared" si="20"/>
        <v>1.043254438</v>
      </c>
      <c r="Q44" s="85">
        <f t="shared" si="21"/>
        <v>0.08025034137</v>
      </c>
    </row>
    <row r="45" ht="15.75" customHeight="1">
      <c r="A45" s="80" t="s">
        <v>91</v>
      </c>
      <c r="B45" s="83">
        <f>C$2+11</f>
        <v>45584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176.31</v>
      </c>
      <c r="O45" s="85">
        <f t="shared" si="19"/>
        <v>13.56230769</v>
      </c>
      <c r="P45" s="85">
        <f t="shared" si="20"/>
        <v>1.043254438</v>
      </c>
      <c r="Q45" s="85">
        <f t="shared" si="21"/>
        <v>0.08025034137</v>
      </c>
    </row>
    <row r="46" ht="15.75" customHeight="1">
      <c r="A46" s="80" t="s">
        <v>92</v>
      </c>
      <c r="B46" s="83">
        <f>C$2+12</f>
        <v>45585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176.31</v>
      </c>
      <c r="O46" s="85">
        <f t="shared" si="19"/>
        <v>13.56230769</v>
      </c>
      <c r="P46" s="85">
        <f t="shared" si="20"/>
        <v>1.043254438</v>
      </c>
      <c r="Q46" s="85">
        <f t="shared" si="21"/>
        <v>0.08025034137</v>
      </c>
    </row>
    <row r="47" ht="15.75" customHeight="1">
      <c r="A47" s="80" t="s">
        <v>93</v>
      </c>
      <c r="B47" s="83">
        <f>C$2+13</f>
        <v>45586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176.31</v>
      </c>
      <c r="O47" s="85">
        <f t="shared" si="19"/>
        <v>13.56230769</v>
      </c>
      <c r="P47" s="85">
        <f t="shared" si="20"/>
        <v>1.043254438</v>
      </c>
      <c r="Q47" s="85">
        <f t="shared" si="21"/>
        <v>0.08025034137</v>
      </c>
    </row>
    <row r="48" ht="15.75" customHeight="1">
      <c r="A48" s="80" t="s">
        <v>94</v>
      </c>
      <c r="B48" s="83">
        <f>C$2+14</f>
        <v>45587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176.31</v>
      </c>
      <c r="O48" s="85">
        <f t="shared" si="19"/>
        <v>13.56230769</v>
      </c>
      <c r="P48" s="85">
        <f t="shared" si="20"/>
        <v>1.043254438</v>
      </c>
      <c r="Q48" s="85">
        <f t="shared" si="21"/>
        <v>0.08025034137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>
        <f>(N34-M50)/Q50</f>
        <v>13.56230769</v>
      </c>
      <c r="P50" s="88">
        <f>100% -N50</f>
        <v>0</v>
      </c>
      <c r="Q50" s="16">
        <f>G19</f>
        <v>13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91</v>
      </c>
      <c r="C2" s="5">
        <v>45569.0</v>
      </c>
      <c r="D2" s="6" t="s">
        <v>102</v>
      </c>
      <c r="E2" s="7">
        <v>0.0</v>
      </c>
      <c r="F2" s="8">
        <v>500.0</v>
      </c>
      <c r="G2" s="9">
        <f>C3</f>
        <v>0</v>
      </c>
      <c r="H2" s="10">
        <v>0.0</v>
      </c>
      <c r="I2" s="10">
        <f>E2+G2</f>
        <v>0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0</v>
      </c>
      <c r="G3" s="10">
        <f>E2</f>
        <v>0</v>
      </c>
      <c r="I3" s="10">
        <f>F2+C9</f>
        <v>500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0</v>
      </c>
      <c r="D4" s="16" t="s">
        <v>14</v>
      </c>
      <c r="E4" s="17" t="s">
        <v>15</v>
      </c>
      <c r="F4" s="18">
        <f>F3+F2</f>
        <v>500</v>
      </c>
      <c r="G4" s="18">
        <f>G2+G3</f>
        <v>0</v>
      </c>
      <c r="I4" s="19">
        <f>SUM(I2:I3)</f>
        <v>500</v>
      </c>
      <c r="J4" s="20">
        <f>B12+I4+G17</f>
        <v>500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45569</v>
      </c>
    </row>
    <row r="5">
      <c r="A5" s="1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>SUM(D6:E6)</f>
        <v>0</v>
      </c>
      <c r="D6" s="24">
        <v>0.0</v>
      </c>
      <c r="E6" s="25">
        <f t="shared" ref="E6:E9" si="3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>D28</f>
        <v>0</v>
      </c>
      <c r="D7" s="24">
        <f t="shared" ref="D7:D8" si="4">0+D28</f>
        <v>0</v>
      </c>
      <c r="E7" s="25">
        <f t="shared" si="3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ref="C8:C9" si="5">SUM(D8:E8)</f>
        <v>0</v>
      </c>
      <c r="D8" s="24">
        <f t="shared" si="4"/>
        <v>0</v>
      </c>
      <c r="E8" s="25">
        <f t="shared" si="3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 t="shared" si="5"/>
        <v>0</v>
      </c>
      <c r="D9" s="24">
        <v>0.0</v>
      </c>
      <c r="E9" s="25">
        <f t="shared" si="3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7">
        <f>F6+F7+F8+F9+D27</f>
        <v>0</v>
      </c>
      <c r="H11" s="31">
        <v>45569.0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>
        <f>H13-C2</f>
        <v>3</v>
      </c>
      <c r="H13" s="38">
        <f>F21</f>
        <v>45572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>
        <f>H14-C2</f>
        <v>10</v>
      </c>
      <c r="H14" s="38">
        <f>F23</f>
        <v>45579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0</v>
      </c>
      <c r="C15" s="35">
        <f t="shared" si="11"/>
        <v>0</v>
      </c>
      <c r="D15" s="24">
        <f t="shared" si="11"/>
        <v>0</v>
      </c>
      <c r="E15" s="36">
        <f t="shared" si="11"/>
        <v>0</v>
      </c>
      <c r="F15" s="40">
        <f t="shared" si="11"/>
        <v>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45569</v>
      </c>
      <c r="G19" s="11">
        <f>F19-E23</f>
        <v>0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3.0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45572</v>
      </c>
      <c r="G21" s="58" t="str">
        <f>IMSUB(F23,F21)</f>
        <v>7</v>
      </c>
      <c r="H21" s="17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"Owed")</f>
        <v>Paid</v>
      </c>
      <c r="L21" s="39">
        <f t="shared" ref="L21:L22" si="15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7.0</v>
      </c>
      <c r="G22" s="53" t="s">
        <v>55</v>
      </c>
      <c r="H22" s="54" t="s">
        <v>56</v>
      </c>
      <c r="I22" s="55" t="s">
        <v>60</v>
      </c>
      <c r="J22" s="56">
        <f t="shared" si="13"/>
        <v>0</v>
      </c>
      <c r="K22" s="53" t="str">
        <f t="shared" si="14"/>
        <v>Paid</v>
      </c>
      <c r="L22" s="39">
        <f t="shared" si="15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45569</v>
      </c>
      <c r="F23" s="90">
        <f>SUM(F21:F22)</f>
        <v>45579</v>
      </c>
      <c r="G23" s="58" t="str">
        <f>IMSUB(F23,E23)</f>
        <v>10</v>
      </c>
      <c r="H23" s="17" t="s">
        <v>61</v>
      </c>
      <c r="I23" s="39" t="s">
        <v>101</v>
      </c>
      <c r="J23" s="20">
        <f>SUM(J20:J22)</f>
        <v>0</v>
      </c>
      <c r="K23" s="58" t="str">
        <f t="shared" si="14"/>
        <v>Paid</v>
      </c>
      <c r="L23" s="39">
        <f>SUM(L20:L22)</f>
        <v>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10"/>
      <c r="I24" s="63"/>
      <c r="J24" s="3"/>
      <c r="K24" s="16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/>
      <c r="C25" s="4" t="str">
        <f t="shared" ref="C25:C26" si="16">I21</f>
        <v>Mortgage</v>
      </c>
      <c r="D25" s="63">
        <v>0.0</v>
      </c>
      <c r="E25" s="5">
        <f t="shared" ref="E25:E28" si="17">H$11</f>
        <v>45569</v>
      </c>
      <c r="G25" s="14" t="s">
        <v>65</v>
      </c>
      <c r="H25" s="40">
        <f>F2</f>
        <v>500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/>
      <c r="C26" s="4" t="str">
        <f t="shared" si="16"/>
        <v>HOA</v>
      </c>
      <c r="D26" s="63">
        <v>0.0</v>
      </c>
      <c r="E26" s="5">
        <f t="shared" si="17"/>
        <v>45569</v>
      </c>
      <c r="H26" s="41">
        <f>G2</f>
        <v>0</v>
      </c>
      <c r="I26" s="73">
        <f>G17+C3+F2-I15-M50+E11</f>
        <v>500</v>
      </c>
      <c r="J26" s="73">
        <f>G17+C3+C8+F2-M50</f>
        <v>500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/>
      <c r="C27" s="4" t="str">
        <f t="shared" ref="C27:C29" si="18">B6</f>
        <v>Vacation Savings</v>
      </c>
      <c r="D27" s="63">
        <v>0.0</v>
      </c>
      <c r="E27" s="5">
        <f t="shared" si="17"/>
        <v>45569</v>
      </c>
      <c r="G27" s="16" t="s">
        <v>70</v>
      </c>
      <c r="H27" s="24">
        <f>SUM(H25:H26)</f>
        <v>500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/>
      <c r="C28" s="4" t="str">
        <f t="shared" si="18"/>
        <v>Emergency Savings</v>
      </c>
      <c r="D28" s="24">
        <v>0.0</v>
      </c>
      <c r="E28" s="5">
        <f t="shared" si="17"/>
        <v>45569</v>
      </c>
      <c r="G28" s="11" t="s">
        <v>72</v>
      </c>
      <c r="H28" s="24">
        <f>H27-D30</f>
        <v>500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0.0</v>
      </c>
      <c r="E29" s="5">
        <f>F$19</f>
        <v>45569</v>
      </c>
      <c r="G29" s="2" t="s">
        <v>73</v>
      </c>
      <c r="H29" s="24">
        <f>H27+G17</f>
        <v>500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SUM(D25:D28)</f>
        <v>0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500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45569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500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45570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45572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45573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45574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45575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45576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45577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45578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45579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45580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45581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45582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45583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 t="str">
        <f>(N34-M50)/Q50</f>
        <v>#DIV/0!</v>
      </c>
      <c r="P50" s="88">
        <f>100% -N50</f>
        <v>0</v>
      </c>
      <c r="Q50" s="16">
        <f>G19</f>
        <v>0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90</v>
      </c>
      <c r="C2" s="5">
        <v>45568.0</v>
      </c>
      <c r="D2" s="6" t="s">
        <v>103</v>
      </c>
      <c r="E2" s="10">
        <v>0.0</v>
      </c>
      <c r="F2" s="8">
        <v>500.0</v>
      </c>
      <c r="G2" s="9">
        <f>C3</f>
        <v>-709.04</v>
      </c>
      <c r="H2" s="10">
        <v>0.0</v>
      </c>
      <c r="I2" s="10">
        <f>E2+G2</f>
        <v>-709.04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-709.04</v>
      </c>
      <c r="D3" s="13">
        <v>1971.51</v>
      </c>
      <c r="F3" s="10">
        <f>-F2+500</f>
        <v>0</v>
      </c>
      <c r="G3" s="10">
        <f>E2</f>
        <v>0</v>
      </c>
      <c r="I3" s="10">
        <f>F2+C9</f>
        <v>500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1770.62</v>
      </c>
      <c r="D4" s="16" t="s">
        <v>14</v>
      </c>
      <c r="E4" s="16" t="s">
        <v>15</v>
      </c>
      <c r="F4" s="18">
        <f>F3+F2</f>
        <v>500</v>
      </c>
      <c r="G4" s="18">
        <f>G2+G3</f>
        <v>-709.04</v>
      </c>
      <c r="I4" s="19">
        <f>SUM(I2:I3)</f>
        <v>-209.04</v>
      </c>
      <c r="J4" s="20">
        <f>B12+I4+G17</f>
        <v>-4774.71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45569</v>
      </c>
    </row>
    <row r="5">
      <c r="A5" s="1"/>
      <c r="B5" s="2" t="s">
        <v>18</v>
      </c>
      <c r="C5" s="10">
        <f>SUM(D5:E5)-E11</f>
        <v>293</v>
      </c>
      <c r="D5" s="24">
        <v>258.0</v>
      </c>
      <c r="E5" s="24">
        <v>35.0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>SUM(D6:E6)</f>
        <v>0</v>
      </c>
      <c r="D6" s="24">
        <v>0.0</v>
      </c>
      <c r="E6" s="24">
        <f t="shared" ref="E6:E9" si="3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v>228.89</v>
      </c>
      <c r="D7" s="24">
        <f t="shared" ref="D7:D8" si="4">0+D28</f>
        <v>228.89</v>
      </c>
      <c r="E7" s="24">
        <f t="shared" si="3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ref="C8:C9" si="5">SUM(D8:E8)</f>
        <v>510</v>
      </c>
      <c r="D8" s="24">
        <f t="shared" si="4"/>
        <v>510</v>
      </c>
      <c r="E8" s="24">
        <f t="shared" si="3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 t="shared" si="5"/>
        <v>0</v>
      </c>
      <c r="D9" s="24">
        <v>0.0</v>
      </c>
      <c r="E9" s="24">
        <f t="shared" si="3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-709.04</v>
      </c>
      <c r="D10" s="24"/>
      <c r="E10" s="24"/>
      <c r="F10" s="10"/>
      <c r="H10" s="17" t="s">
        <v>104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10">
        <f>F6+F7+F8+F9+D27</f>
        <v>0</v>
      </c>
      <c r="H11" s="31">
        <v>45569.0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-4565.67</v>
      </c>
      <c r="C12" s="11" t="s">
        <v>30</v>
      </c>
      <c r="D12" s="11" t="s">
        <v>31</v>
      </c>
      <c r="E12" s="11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587.83</v>
      </c>
      <c r="C13" s="35">
        <v>587.83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587.83</v>
      </c>
      <c r="G13" s="37">
        <f>H13-C2</f>
        <v>9</v>
      </c>
      <c r="H13" s="38">
        <f>F23</f>
        <v>45577</v>
      </c>
      <c r="I13" s="24">
        <v>0.0</v>
      </c>
      <c r="J13" s="25">
        <f t="shared" ref="J13:J14" si="9">L13</f>
        <v>587.83</v>
      </c>
      <c r="K13" s="11" t="s">
        <v>41</v>
      </c>
      <c r="L13" s="24">
        <f t="shared" ref="L13:L14" si="10">C13</f>
        <v>587.83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3977.84</v>
      </c>
      <c r="C14" s="35">
        <v>2092.72</v>
      </c>
      <c r="D14" s="24">
        <f t="shared" si="6"/>
        <v>1885.12</v>
      </c>
      <c r="E14" s="36">
        <f t="shared" si="7"/>
        <v>0</v>
      </c>
      <c r="F14" s="24">
        <f t="shared" si="8"/>
        <v>3977.84</v>
      </c>
      <c r="G14" s="37">
        <f>H14-C2</f>
        <v>2</v>
      </c>
      <c r="H14" s="38">
        <f>F21</f>
        <v>45570</v>
      </c>
      <c r="I14" s="24">
        <v>0.0</v>
      </c>
      <c r="J14" s="25">
        <f t="shared" si="9"/>
        <v>2092.72</v>
      </c>
      <c r="K14" s="11" t="s">
        <v>41</v>
      </c>
      <c r="L14" s="24">
        <f t="shared" si="10"/>
        <v>2092.72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4565.67</v>
      </c>
      <c r="C15" s="35">
        <f t="shared" si="11"/>
        <v>2680.55</v>
      </c>
      <c r="D15" s="24">
        <f t="shared" si="11"/>
        <v>1885.12</v>
      </c>
      <c r="E15" s="36">
        <f t="shared" si="11"/>
        <v>0</v>
      </c>
      <c r="F15" s="40">
        <f t="shared" si="11"/>
        <v>4565.67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2680.55</v>
      </c>
      <c r="K15" s="11" t="s">
        <v>41</v>
      </c>
      <c r="L15" s="24">
        <f>SUM(L13:L14)</f>
        <v>2680.55</v>
      </c>
      <c r="M15" s="21" t="str">
        <f t="shared" si="1"/>
        <v>&lt;---------------------&gt;</v>
      </c>
      <c r="N15" s="34"/>
      <c r="O15" s="11">
        <v>-4500.0</v>
      </c>
      <c r="P15" s="27" t="str">
        <f t="shared" si="2"/>
        <v>&lt;</v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>&lt;---------------------&gt;</v>
      </c>
      <c r="N16" s="34"/>
      <c r="O16" s="11">
        <v>-4200.0</v>
      </c>
      <c r="P16" s="27" t="str">
        <f t="shared" si="2"/>
        <v>&lt;</v>
      </c>
      <c r="Q16" s="32"/>
    </row>
    <row r="17">
      <c r="A17" s="4" t="s">
        <v>46</v>
      </c>
      <c r="B17" s="45">
        <v>2566.7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>&lt;---------------------&gt;</v>
      </c>
      <c r="N17" s="34"/>
      <c r="O17" s="11">
        <v>-3900.0</v>
      </c>
      <c r="P17" s="27" t="str">
        <f t="shared" si="2"/>
        <v>&lt;</v>
      </c>
      <c r="Q17" s="32"/>
    </row>
    <row r="18">
      <c r="A18" s="2">
        <v>1.0</v>
      </c>
      <c r="B18" s="45">
        <v>2566.7</v>
      </c>
      <c r="C18" s="16" t="str">
        <f>IF(B28&gt;B17,"Increase","Decrease")</f>
        <v>Increase</v>
      </c>
      <c r="D18" s="50">
        <f>B28-B17</f>
        <v>2.63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>&lt;---------------------&gt;</v>
      </c>
      <c r="N18" s="34"/>
      <c r="O18" s="11">
        <v>-3600.0</v>
      </c>
      <c r="P18" s="27" t="str">
        <f t="shared" si="2"/>
        <v>&lt;</v>
      </c>
      <c r="Q18" s="32"/>
    </row>
    <row r="19">
      <c r="A19" s="2">
        <v>2.0</v>
      </c>
      <c r="B19" s="45">
        <v>2564.3</v>
      </c>
      <c r="D19" s="11"/>
      <c r="E19" s="2" t="s">
        <v>50</v>
      </c>
      <c r="F19" s="51">
        <f>H11</f>
        <v>45569</v>
      </c>
      <c r="G19" s="11">
        <f>F19-E23</f>
        <v>1</v>
      </c>
      <c r="H19" s="16" t="s">
        <v>51</v>
      </c>
      <c r="J19" s="16" t="s">
        <v>52</v>
      </c>
      <c r="K19" s="16" t="s">
        <v>53</v>
      </c>
      <c r="L19" s="52" t="s">
        <v>54</v>
      </c>
      <c r="M19" s="21" t="str">
        <f t="shared" si="1"/>
        <v>&lt;---------------------&gt;</v>
      </c>
      <c r="N19" s="34"/>
      <c r="O19" s="11">
        <v>-3300.0</v>
      </c>
      <c r="P19" s="27" t="str">
        <f t="shared" si="2"/>
        <v>&lt;</v>
      </c>
      <c r="Q19" s="32"/>
    </row>
    <row r="20">
      <c r="A20" s="2">
        <v>3.0</v>
      </c>
      <c r="B20" s="45">
        <v>2564.3</v>
      </c>
      <c r="D20" s="11"/>
      <c r="E20" s="1"/>
      <c r="F20" s="11">
        <f>F19-C2</f>
        <v>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Owed</v>
      </c>
      <c r="L20" s="39">
        <f>L15</f>
        <v>2680.55</v>
      </c>
      <c r="M20" s="21" t="str">
        <f t="shared" si="1"/>
        <v>&lt;---------------------&gt;</v>
      </c>
      <c r="N20" s="34"/>
      <c r="O20" s="11">
        <v>-3000.0</v>
      </c>
      <c r="P20" s="27" t="str">
        <f t="shared" si="2"/>
        <v>&lt;</v>
      </c>
      <c r="Q20" s="32"/>
    </row>
    <row r="21" ht="15.75" customHeight="1">
      <c r="A21" s="2">
        <v>4.0</v>
      </c>
      <c r="B21" s="45">
        <v>2564.3</v>
      </c>
      <c r="D21" s="11"/>
      <c r="E21" s="1"/>
      <c r="F21" s="89">
        <f>SUM(F19:F20)</f>
        <v>45570</v>
      </c>
      <c r="G21" s="53" t="str">
        <f>IMSUB(F23,F21)</f>
        <v>7</v>
      </c>
      <c r="H21" s="17" t="s">
        <v>61</v>
      </c>
      <c r="I21" s="55" t="s">
        <v>59</v>
      </c>
      <c r="J21" s="56">
        <f t="shared" ref="J21:J22" si="13">D25</f>
        <v>1088.62</v>
      </c>
      <c r="K21" s="53" t="str">
        <f t="shared" ref="K21:K23" si="14">IF(J21 =L21, "Paid", "Owed")</f>
        <v>Paid</v>
      </c>
      <c r="L21" s="39">
        <f t="shared" ref="L21:L22" si="15">D25</f>
        <v>1088.62</v>
      </c>
      <c r="M21" s="21" t="str">
        <f t="shared" si="1"/>
        <v>&lt;---------------------&gt;</v>
      </c>
      <c r="N21" s="34"/>
      <c r="O21" s="11">
        <v>-2700.0</v>
      </c>
      <c r="P21" s="27" t="str">
        <f t="shared" si="2"/>
        <v>&lt;</v>
      </c>
      <c r="Q21" s="32"/>
    </row>
    <row r="22" ht="15.75" customHeight="1">
      <c r="A22" s="2">
        <v>5.0</v>
      </c>
      <c r="B22" s="45">
        <v>2569.33</v>
      </c>
      <c r="D22" s="11"/>
      <c r="E22" s="1"/>
      <c r="F22" s="11">
        <v>7.0</v>
      </c>
      <c r="G22" s="53" t="s">
        <v>55</v>
      </c>
      <c r="H22" s="54" t="s">
        <v>56</v>
      </c>
      <c r="I22" s="55" t="s">
        <v>60</v>
      </c>
      <c r="J22" s="56">
        <f t="shared" si="13"/>
        <v>682</v>
      </c>
      <c r="K22" s="53" t="str">
        <f t="shared" si="14"/>
        <v>Paid</v>
      </c>
      <c r="L22" s="39">
        <f t="shared" si="15"/>
        <v>682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>&lt;</v>
      </c>
      <c r="Q22" s="32"/>
    </row>
    <row r="23" ht="15.75" customHeight="1">
      <c r="A23" s="2">
        <v>6.0</v>
      </c>
      <c r="B23" s="45">
        <v>2569.33</v>
      </c>
      <c r="D23" s="11"/>
      <c r="E23" s="38">
        <f>C2</f>
        <v>45568</v>
      </c>
      <c r="F23" s="90">
        <f>SUM(F21:F22)</f>
        <v>45577</v>
      </c>
      <c r="G23" s="53" t="str">
        <f>IMSUB(F23,E23)</f>
        <v>9</v>
      </c>
      <c r="H23" s="17" t="s">
        <v>58</v>
      </c>
      <c r="I23" s="56" t="s">
        <v>101</v>
      </c>
      <c r="J23" s="20">
        <f>SUM(J20:J22)</f>
        <v>1770.62</v>
      </c>
      <c r="K23" s="53" t="str">
        <f t="shared" si="14"/>
        <v>Owed</v>
      </c>
      <c r="L23" s="39">
        <f>SUM(L20:L22)</f>
        <v>4451.17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>&lt;</v>
      </c>
      <c r="Q23" s="32"/>
    </row>
    <row r="24" ht="15.75" customHeight="1">
      <c r="A24" s="2">
        <v>7.0</v>
      </c>
      <c r="B24" s="45">
        <v>2569.33</v>
      </c>
      <c r="C24" s="16" t="s">
        <v>63</v>
      </c>
      <c r="D24" s="11"/>
      <c r="E24" s="10"/>
      <c r="I24" s="63"/>
      <c r="J24" s="3"/>
      <c r="K24" s="16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>&lt;</v>
      </c>
      <c r="Q24" s="32"/>
    </row>
    <row r="25" ht="36.75" customHeight="1">
      <c r="A25" s="2">
        <v>8.0</v>
      </c>
      <c r="B25" s="45">
        <v>2569.33</v>
      </c>
      <c r="C25" s="4" t="str">
        <f t="shared" ref="C25:C26" si="16">I21</f>
        <v>Mortgage</v>
      </c>
      <c r="D25" s="63">
        <v>1088.62</v>
      </c>
      <c r="E25" s="5">
        <f t="shared" ref="E25:E28" si="17">H$11</f>
        <v>45569</v>
      </c>
      <c r="G25" s="14" t="s">
        <v>65</v>
      </c>
      <c r="H25" s="40">
        <f>F2</f>
        <v>500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>&lt;</v>
      </c>
      <c r="Q25" s="32"/>
    </row>
    <row r="26" ht="15.75" customHeight="1">
      <c r="A26" s="2">
        <v>9.0</v>
      </c>
      <c r="B26" s="45">
        <v>2569.33</v>
      </c>
      <c r="C26" s="4" t="str">
        <f t="shared" si="16"/>
        <v>HOA</v>
      </c>
      <c r="D26" s="63">
        <v>682.0</v>
      </c>
      <c r="E26" s="5">
        <f t="shared" si="17"/>
        <v>45569</v>
      </c>
      <c r="F26" s="2">
        <v>67.0</v>
      </c>
      <c r="H26" s="41">
        <f>G2</f>
        <v>-709.04</v>
      </c>
      <c r="I26" s="73">
        <f>G17+C3+F2-I15-M50+E11</f>
        <v>-209.04</v>
      </c>
      <c r="J26" s="73">
        <f>G17+C3+C8+F2-M50</f>
        <v>300.96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>&lt;</v>
      </c>
      <c r="Q26" s="32"/>
    </row>
    <row r="27" ht="15.75" customHeight="1">
      <c r="A27" s="2">
        <v>10.0</v>
      </c>
      <c r="B27" s="45">
        <v>2569.33</v>
      </c>
      <c r="C27" s="4" t="str">
        <f t="shared" ref="C27:C29" si="18">B6</f>
        <v>Vacation Savings</v>
      </c>
      <c r="D27" s="63">
        <v>0.0</v>
      </c>
      <c r="E27" s="5">
        <f t="shared" si="17"/>
        <v>45569</v>
      </c>
      <c r="G27" s="16" t="s">
        <v>70</v>
      </c>
      <c r="H27" s="24">
        <f>SUM(H25:H26)</f>
        <v>-209.04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>&lt;</v>
      </c>
      <c r="Q27" s="32"/>
    </row>
    <row r="28" ht="15.75" customHeight="1">
      <c r="A28" s="4" t="s">
        <v>71</v>
      </c>
      <c r="B28" s="45">
        <v>2569.33</v>
      </c>
      <c r="C28" s="4" t="str">
        <f t="shared" si="18"/>
        <v>Emergency Savings</v>
      </c>
      <c r="D28" s="24">
        <v>228.89</v>
      </c>
      <c r="E28" s="5">
        <f t="shared" si="17"/>
        <v>45569</v>
      </c>
      <c r="G28" s="11" t="s">
        <v>72</v>
      </c>
      <c r="H28" s="24">
        <f>H27-D30</f>
        <v>-2208.55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>&lt;</v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510.0</v>
      </c>
      <c r="E29" s="5">
        <f>F$19</f>
        <v>45569</v>
      </c>
      <c r="G29" s="2" t="s">
        <v>73</v>
      </c>
      <c r="H29" s="24">
        <f>H27+G17</f>
        <v>-209.04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>&lt;</v>
      </c>
      <c r="Q29" s="32"/>
    </row>
    <row r="30" ht="15.75" customHeight="1">
      <c r="C30" s="4" t="s">
        <v>70</v>
      </c>
      <c r="D30" s="24">
        <f>SUM(D25:D28)</f>
        <v>1999.51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-209.04</v>
      </c>
      <c r="O34" s="37">
        <f>N34/Q50</f>
        <v>-209.04</v>
      </c>
      <c r="P34" s="37">
        <f>O34/Q50</f>
        <v>-209.04</v>
      </c>
      <c r="Q34" s="37">
        <f>P34/Q50</f>
        <v>-209.04</v>
      </c>
    </row>
    <row r="35" ht="15.75" customHeight="1">
      <c r="A35" s="80" t="s">
        <v>8</v>
      </c>
      <c r="B35" s="83">
        <f>C$2</f>
        <v>45568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-209.04</v>
      </c>
      <c r="O35" s="85">
        <f t="shared" ref="O35:O48" si="19">O34-M35/Q$50</f>
        <v>-209.04</v>
      </c>
      <c r="P35" s="85">
        <f t="shared" ref="P35:P48" si="20">P34-M35/Q$50</f>
        <v>-209.04</v>
      </c>
      <c r="Q35" s="85">
        <f t="shared" ref="Q35:Q48" si="21">Q34-M35/Q$50</f>
        <v>-209.04</v>
      </c>
    </row>
    <row r="36" ht="15.75" customHeight="1">
      <c r="A36" s="80" t="s">
        <v>89</v>
      </c>
      <c r="B36" s="83">
        <f>C$2+1</f>
        <v>45569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-209.04</v>
      </c>
      <c r="O36" s="85">
        <f t="shared" si="19"/>
        <v>-209.04</v>
      </c>
      <c r="P36" s="85">
        <f t="shared" si="20"/>
        <v>-209.04</v>
      </c>
      <c r="Q36" s="85">
        <f t="shared" si="21"/>
        <v>-209.04</v>
      </c>
    </row>
    <row r="37" ht="15.75" customHeight="1">
      <c r="A37" s="80" t="s">
        <v>90</v>
      </c>
      <c r="B37" s="83">
        <f>C$2+3</f>
        <v>45571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-209.04</v>
      </c>
      <c r="O37" s="85">
        <f t="shared" si="19"/>
        <v>-209.04</v>
      </c>
      <c r="P37" s="85">
        <f t="shared" si="20"/>
        <v>-209.04</v>
      </c>
      <c r="Q37" s="85">
        <f t="shared" si="21"/>
        <v>-209.04</v>
      </c>
    </row>
    <row r="38" ht="15.75" customHeight="1">
      <c r="A38" s="80" t="s">
        <v>91</v>
      </c>
      <c r="B38" s="83">
        <f>C$2+4</f>
        <v>45572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-209.04</v>
      </c>
      <c r="O38" s="85">
        <f t="shared" si="19"/>
        <v>-209.04</v>
      </c>
      <c r="P38" s="85">
        <f t="shared" si="20"/>
        <v>-209.04</v>
      </c>
      <c r="Q38" s="85">
        <f t="shared" si="21"/>
        <v>-209.04</v>
      </c>
    </row>
    <row r="39" ht="15.75" customHeight="1">
      <c r="A39" s="80" t="s">
        <v>92</v>
      </c>
      <c r="B39" s="83">
        <f>C$2+5</f>
        <v>45573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-209.04</v>
      </c>
      <c r="O39" s="85">
        <f t="shared" si="19"/>
        <v>-209.04</v>
      </c>
      <c r="P39" s="85">
        <f t="shared" si="20"/>
        <v>-209.04</v>
      </c>
      <c r="Q39" s="85">
        <f t="shared" si="21"/>
        <v>-209.04</v>
      </c>
    </row>
    <row r="40" ht="15.0" customHeight="1">
      <c r="A40" s="80" t="s">
        <v>93</v>
      </c>
      <c r="B40" s="83">
        <f>C$2+6</f>
        <v>45574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-209.04</v>
      </c>
      <c r="O40" s="85">
        <f t="shared" si="19"/>
        <v>-209.04</v>
      </c>
      <c r="P40" s="85">
        <f t="shared" si="20"/>
        <v>-209.04</v>
      </c>
      <c r="Q40" s="85">
        <f t="shared" si="21"/>
        <v>-209.04</v>
      </c>
    </row>
    <row r="41" ht="12.0" customHeight="1">
      <c r="A41" s="80" t="s">
        <v>94</v>
      </c>
      <c r="B41" s="83">
        <f>C$2+7</f>
        <v>45575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-209.04</v>
      </c>
      <c r="O41" s="85">
        <f t="shared" si="19"/>
        <v>-209.04</v>
      </c>
      <c r="P41" s="85">
        <f t="shared" si="20"/>
        <v>-209.04</v>
      </c>
      <c r="Q41" s="85">
        <f t="shared" si="21"/>
        <v>-209.04</v>
      </c>
    </row>
    <row r="42" ht="15.75" customHeight="1">
      <c r="A42" s="80" t="s">
        <v>8</v>
      </c>
      <c r="B42" s="83">
        <f>C$2+8</f>
        <v>45576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-209.04</v>
      </c>
      <c r="O42" s="85">
        <f t="shared" si="19"/>
        <v>-209.04</v>
      </c>
      <c r="P42" s="85">
        <f t="shared" si="20"/>
        <v>-209.04</v>
      </c>
      <c r="Q42" s="85">
        <f t="shared" si="21"/>
        <v>-209.04</v>
      </c>
    </row>
    <row r="43" ht="15.75" customHeight="1">
      <c r="A43" s="80" t="s">
        <v>89</v>
      </c>
      <c r="B43" s="83">
        <f>C$2+9</f>
        <v>45577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-209.04</v>
      </c>
      <c r="O43" s="85">
        <f t="shared" si="19"/>
        <v>-209.04</v>
      </c>
      <c r="P43" s="85">
        <f t="shared" si="20"/>
        <v>-209.04</v>
      </c>
      <c r="Q43" s="85">
        <f t="shared" si="21"/>
        <v>-209.04</v>
      </c>
    </row>
    <row r="44" ht="15.75" customHeight="1">
      <c r="A44" s="80" t="s">
        <v>90</v>
      </c>
      <c r="B44" s="83">
        <f>C$2+10</f>
        <v>45578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-209.04</v>
      </c>
      <c r="O44" s="85">
        <f t="shared" si="19"/>
        <v>-209.04</v>
      </c>
      <c r="P44" s="85">
        <f t="shared" si="20"/>
        <v>-209.04</v>
      </c>
      <c r="Q44" s="85">
        <f t="shared" si="21"/>
        <v>-209.04</v>
      </c>
    </row>
    <row r="45" ht="15.75" customHeight="1">
      <c r="A45" s="80" t="s">
        <v>91</v>
      </c>
      <c r="B45" s="83">
        <f>C$2+11</f>
        <v>45579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-209.04</v>
      </c>
      <c r="O45" s="85">
        <f t="shared" si="19"/>
        <v>-209.04</v>
      </c>
      <c r="P45" s="85">
        <f t="shared" si="20"/>
        <v>-209.04</v>
      </c>
      <c r="Q45" s="85">
        <f t="shared" si="21"/>
        <v>-209.04</v>
      </c>
    </row>
    <row r="46" ht="15.75" customHeight="1">
      <c r="A46" s="80" t="s">
        <v>92</v>
      </c>
      <c r="B46" s="83">
        <f>C$2+12</f>
        <v>45580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-209.04</v>
      </c>
      <c r="O46" s="85">
        <f t="shared" si="19"/>
        <v>-209.04</v>
      </c>
      <c r="P46" s="85">
        <f t="shared" si="20"/>
        <v>-209.04</v>
      </c>
      <c r="Q46" s="85">
        <f t="shared" si="21"/>
        <v>-209.04</v>
      </c>
    </row>
    <row r="47" ht="15.75" customHeight="1">
      <c r="A47" s="80" t="s">
        <v>93</v>
      </c>
      <c r="B47" s="83">
        <f>C$2+13</f>
        <v>45581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-209.04</v>
      </c>
      <c r="O47" s="85">
        <f t="shared" si="19"/>
        <v>-209.04</v>
      </c>
      <c r="P47" s="85">
        <f t="shared" si="20"/>
        <v>-209.04</v>
      </c>
      <c r="Q47" s="85">
        <f t="shared" si="21"/>
        <v>-209.04</v>
      </c>
    </row>
    <row r="48" ht="15.75" customHeight="1">
      <c r="A48" s="80" t="s">
        <v>94</v>
      </c>
      <c r="B48" s="83">
        <f>C$2+14</f>
        <v>45582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-209.04</v>
      </c>
      <c r="O48" s="85">
        <f t="shared" si="19"/>
        <v>-209.04</v>
      </c>
      <c r="P48" s="85">
        <f t="shared" si="20"/>
        <v>-209.04</v>
      </c>
      <c r="Q48" s="85">
        <f t="shared" si="21"/>
        <v>-209.04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>
        <f>(N34-M50)/Q50</f>
        <v>-209.04</v>
      </c>
      <c r="P50" s="88">
        <f>100% -N50</f>
        <v>0</v>
      </c>
      <c r="Q50" s="16">
        <f>G19</f>
        <v>1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92</v>
      </c>
      <c r="C2" s="5">
        <v>45555.0</v>
      </c>
      <c r="D2" s="6" t="s">
        <v>103</v>
      </c>
      <c r="E2" s="10">
        <v>0.0</v>
      </c>
      <c r="F2" s="8">
        <v>8.28</v>
      </c>
      <c r="G2" s="9">
        <f>C3</f>
        <v>-2092.72</v>
      </c>
      <c r="H2" s="10">
        <v>0.0</v>
      </c>
      <c r="I2" s="10">
        <f>E2+G2</f>
        <v>-2092.72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-2092.72</v>
      </c>
      <c r="D3" s="13">
        <v>0.0</v>
      </c>
      <c r="F3" s="10">
        <f>-F2+500</f>
        <v>491.72</v>
      </c>
      <c r="G3" s="10">
        <f>E2</f>
        <v>0</v>
      </c>
      <c r="I3" s="10">
        <f>F2+C9</f>
        <v>8.28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1770.62</v>
      </c>
      <c r="D4" s="16" t="s">
        <v>14</v>
      </c>
      <c r="E4" s="16" t="s">
        <v>15</v>
      </c>
      <c r="F4" s="18">
        <f>F3+F2</f>
        <v>500</v>
      </c>
      <c r="G4" s="18">
        <f>G2+G3</f>
        <v>-2092.72</v>
      </c>
      <c r="I4" s="19">
        <f>SUM(I2:I3)</f>
        <v>-2084.44</v>
      </c>
      <c r="J4" s="20">
        <f>B12+I4+G17</f>
        <v>-6007.27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45569</v>
      </c>
    </row>
    <row r="5">
      <c r="A5" s="1"/>
      <c r="B5" s="2" t="s">
        <v>18</v>
      </c>
      <c r="C5" s="10">
        <f>SUM(D5:E5)-E11</f>
        <v>293</v>
      </c>
      <c r="D5" s="24">
        <v>258.0</v>
      </c>
      <c r="E5" s="24">
        <v>35.0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9" si="3">SUM(D6:E6)</f>
        <v>0</v>
      </c>
      <c r="D6" s="24">
        <v>0.0</v>
      </c>
      <c r="E6" s="24">
        <f t="shared" ref="E6:E9" si="4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624.54</v>
      </c>
      <c r="D7" s="24">
        <f t="shared" ref="D7:D8" si="5">0+D28</f>
        <v>624.54</v>
      </c>
      <c r="E7" s="24">
        <f t="shared" si="4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510</v>
      </c>
      <c r="D8" s="24">
        <f t="shared" si="5"/>
        <v>510</v>
      </c>
      <c r="E8" s="24">
        <f t="shared" si="4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 t="shared" si="3"/>
        <v>0</v>
      </c>
      <c r="D9" s="24">
        <v>0.0</v>
      </c>
      <c r="E9" s="24">
        <f t="shared" si="4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-2092.72</v>
      </c>
      <c r="D10" s="24"/>
      <c r="E10" s="24"/>
      <c r="F10" s="10"/>
      <c r="H10" s="17" t="s">
        <v>104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>&lt;</v>
      </c>
    </row>
    <row r="11">
      <c r="A11" s="2" t="s">
        <v>100</v>
      </c>
      <c r="B11" s="30" t="s">
        <v>27</v>
      </c>
      <c r="C11" s="10"/>
      <c r="D11" s="2" t="s">
        <v>28</v>
      </c>
      <c r="E11" s="10">
        <f>F6+F7+F8+F9+D27</f>
        <v>0</v>
      </c>
      <c r="H11" s="31">
        <v>45569.0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>&lt;</v>
      </c>
      <c r="Q11" s="32"/>
    </row>
    <row r="12">
      <c r="A12" s="11" t="s">
        <v>29</v>
      </c>
      <c r="B12" s="33">
        <f>-B15</f>
        <v>-3922.83</v>
      </c>
      <c r="C12" s="11" t="s">
        <v>30</v>
      </c>
      <c r="D12" s="11" t="s">
        <v>31</v>
      </c>
      <c r="E12" s="11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>&lt;</v>
      </c>
      <c r="Q12" s="32"/>
    </row>
    <row r="13">
      <c r="A13" s="28" t="s">
        <v>40</v>
      </c>
      <c r="B13" s="24">
        <v>497.07</v>
      </c>
      <c r="C13" s="35">
        <v>780.75</v>
      </c>
      <c r="D13" s="24">
        <f t="shared" ref="D13:D14" si="6">B13-C13</f>
        <v>-283.68</v>
      </c>
      <c r="E13" s="36">
        <f t="shared" ref="E13:E14" si="7">I13</f>
        <v>780.75</v>
      </c>
      <c r="F13" s="24">
        <f t="shared" ref="F13:F14" si="8">B13-E13</f>
        <v>-283.68</v>
      </c>
      <c r="G13" s="37">
        <f>H13-C2</f>
        <v>14</v>
      </c>
      <c r="H13" s="38">
        <f>H$11</f>
        <v>45569</v>
      </c>
      <c r="I13" s="24">
        <v>780.75</v>
      </c>
      <c r="J13" s="25">
        <f t="shared" ref="J13:J14" si="9">L13</f>
        <v>780.75</v>
      </c>
      <c r="K13" s="11" t="s">
        <v>41</v>
      </c>
      <c r="L13" s="24">
        <f t="shared" ref="L13:L14" si="10">C13</f>
        <v>780.75</v>
      </c>
      <c r="M13" s="21" t="str">
        <f t="shared" si="1"/>
        <v/>
      </c>
      <c r="N13" s="34"/>
      <c r="O13" s="11">
        <v>-5100.0</v>
      </c>
      <c r="P13" s="27" t="str">
        <f t="shared" si="2"/>
        <v>&lt;</v>
      </c>
      <c r="Q13" s="32"/>
    </row>
    <row r="14">
      <c r="A14" s="28" t="s">
        <v>42</v>
      </c>
      <c r="B14" s="24">
        <v>3425.76</v>
      </c>
      <c r="C14" s="35">
        <v>2092.72</v>
      </c>
      <c r="D14" s="24">
        <f t="shared" si="6"/>
        <v>1333.04</v>
      </c>
      <c r="E14" s="36">
        <f t="shared" si="7"/>
        <v>0</v>
      </c>
      <c r="F14" s="24">
        <f t="shared" si="8"/>
        <v>3425.76</v>
      </c>
      <c r="G14" s="37">
        <f>H14-C2</f>
        <v>32</v>
      </c>
      <c r="H14" s="38">
        <f>F21</f>
        <v>45587</v>
      </c>
      <c r="I14" s="24">
        <v>0.0</v>
      </c>
      <c r="J14" s="25">
        <f t="shared" si="9"/>
        <v>2092.72</v>
      </c>
      <c r="K14" s="11" t="s">
        <v>41</v>
      </c>
      <c r="L14" s="24">
        <f t="shared" si="10"/>
        <v>2092.72</v>
      </c>
      <c r="M14" s="21" t="str">
        <f t="shared" si="1"/>
        <v/>
      </c>
      <c r="N14" s="34"/>
      <c r="O14" s="11">
        <v>-4800.0</v>
      </c>
      <c r="P14" s="27" t="str">
        <f t="shared" si="2"/>
        <v>&lt;</v>
      </c>
      <c r="Q14" s="32"/>
    </row>
    <row r="15">
      <c r="A15" s="28" t="s">
        <v>43</v>
      </c>
      <c r="B15" s="91">
        <f t="shared" ref="B15:F15" si="11">SUM(B13:B14)</f>
        <v>3922.83</v>
      </c>
      <c r="C15" s="35">
        <f t="shared" si="11"/>
        <v>2873.47</v>
      </c>
      <c r="D15" s="24">
        <f t="shared" si="11"/>
        <v>1049.36</v>
      </c>
      <c r="E15" s="36">
        <f t="shared" si="11"/>
        <v>780.75</v>
      </c>
      <c r="F15" s="40">
        <f t="shared" si="11"/>
        <v>3142.08</v>
      </c>
      <c r="G15" s="37"/>
      <c r="H15" s="11" t="s">
        <v>44</v>
      </c>
      <c r="I15" s="41">
        <f t="shared" ref="I15:J15" si="12">SUM(I13:I14)</f>
        <v>780.75</v>
      </c>
      <c r="J15" s="25">
        <f t="shared" si="12"/>
        <v>2873.47</v>
      </c>
      <c r="K15" s="11" t="s">
        <v>41</v>
      </c>
      <c r="L15" s="24">
        <f>SUM(L13:L14)</f>
        <v>2873.47</v>
      </c>
      <c r="M15" s="21" t="str">
        <f t="shared" si="1"/>
        <v/>
      </c>
      <c r="N15" s="34"/>
      <c r="O15" s="11">
        <v>-4500.0</v>
      </c>
      <c r="P15" s="27" t="str">
        <f t="shared" si="2"/>
        <v>&lt;</v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>&lt;</v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>&lt;---------------------&gt;</v>
      </c>
      <c r="N17" s="34"/>
      <c r="O17" s="11">
        <v>-3900.0</v>
      </c>
      <c r="P17" s="27" t="str">
        <f t="shared" si="2"/>
        <v>&lt;</v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>&lt;---------------------&gt;</v>
      </c>
      <c r="N18" s="34"/>
      <c r="O18" s="11">
        <v>-3600.0</v>
      </c>
      <c r="P18" s="27" t="str">
        <f t="shared" si="2"/>
        <v>&lt;</v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45569</v>
      </c>
      <c r="G19" s="11">
        <f>F19-E23</f>
        <v>14</v>
      </c>
      <c r="H19" s="16" t="s">
        <v>51</v>
      </c>
      <c r="J19" s="16" t="s">
        <v>52</v>
      </c>
      <c r="K19" s="16" t="s">
        <v>53</v>
      </c>
      <c r="L19" s="52" t="s">
        <v>105</v>
      </c>
      <c r="M19" s="21" t="str">
        <f t="shared" si="1"/>
        <v>&lt;---------------------&gt;</v>
      </c>
      <c r="N19" s="34"/>
      <c r="O19" s="11">
        <v>-3300.0</v>
      </c>
      <c r="P19" s="27" t="str">
        <f t="shared" si="2"/>
        <v>&lt;</v>
      </c>
      <c r="Q19" s="32"/>
    </row>
    <row r="20">
      <c r="A20" s="2">
        <v>3.0</v>
      </c>
      <c r="B20" s="45"/>
      <c r="D20" s="11"/>
      <c r="E20" s="1"/>
      <c r="F20" s="11">
        <v>18.0</v>
      </c>
      <c r="G20" s="53" t="s">
        <v>55</v>
      </c>
      <c r="H20" s="54" t="s">
        <v>56</v>
      </c>
      <c r="I20" s="55" t="s">
        <v>57</v>
      </c>
      <c r="J20" s="56">
        <f>I15</f>
        <v>780.75</v>
      </c>
      <c r="K20" s="53" t="str">
        <f>IF(J20 &gt;=L20, "Paid", "Owed")</f>
        <v>Owed</v>
      </c>
      <c r="L20" s="39">
        <f>L15</f>
        <v>2873.47</v>
      </c>
      <c r="M20" s="21" t="str">
        <f t="shared" si="1"/>
        <v>&lt;---------------------&gt;</v>
      </c>
      <c r="N20" s="34"/>
      <c r="O20" s="11">
        <v>-3000.0</v>
      </c>
      <c r="P20" s="27" t="str">
        <f t="shared" si="2"/>
        <v>&lt;</v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45587</v>
      </c>
      <c r="G21" s="53" t="str">
        <f>IMSUB(F23,F21)</f>
        <v>18</v>
      </c>
      <c r="H21" s="54" t="s">
        <v>106</v>
      </c>
      <c r="I21" s="55" t="s">
        <v>59</v>
      </c>
      <c r="J21" s="56">
        <f t="shared" ref="J21:J22" si="13">D25</f>
        <v>1088.62</v>
      </c>
      <c r="K21" s="53" t="str">
        <f t="shared" ref="K21:K23" si="14">IF(J21 =L21, "Paid", "Owed")</f>
        <v>Paid</v>
      </c>
      <c r="L21" s="39">
        <f t="shared" ref="L21:L22" si="15">D25</f>
        <v>1088.62</v>
      </c>
      <c r="M21" s="21" t="str">
        <f t="shared" si="1"/>
        <v>&lt;---------------------&gt;</v>
      </c>
      <c r="N21" s="34"/>
      <c r="O21" s="11">
        <v>-2700.0</v>
      </c>
      <c r="P21" s="27" t="str">
        <f t="shared" si="2"/>
        <v>&lt;</v>
      </c>
      <c r="Q21" s="32"/>
    </row>
    <row r="22" ht="15.75" customHeight="1">
      <c r="A22" s="2">
        <v>5.0</v>
      </c>
      <c r="B22" s="45"/>
      <c r="D22" s="11"/>
      <c r="E22" s="1"/>
      <c r="F22" s="11">
        <v>18.0</v>
      </c>
      <c r="G22" s="53" t="s">
        <v>55</v>
      </c>
      <c r="H22" s="54" t="s">
        <v>56</v>
      </c>
      <c r="I22" s="55" t="s">
        <v>60</v>
      </c>
      <c r="J22" s="56">
        <f t="shared" si="13"/>
        <v>682</v>
      </c>
      <c r="K22" s="53" t="str">
        <f t="shared" si="14"/>
        <v>Paid</v>
      </c>
      <c r="L22" s="39">
        <f t="shared" si="15"/>
        <v>682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>&lt;</v>
      </c>
      <c r="Q22" s="32"/>
    </row>
    <row r="23" ht="15.75" customHeight="1">
      <c r="A23" s="2">
        <v>6.0</v>
      </c>
      <c r="B23" s="45"/>
      <c r="D23" s="11"/>
      <c r="E23" s="38">
        <f>C2</f>
        <v>45555</v>
      </c>
      <c r="F23" s="90">
        <f>SUM(F21:F22)</f>
        <v>45605</v>
      </c>
      <c r="G23" s="53" t="str">
        <f>IMSUB(F23,E23)</f>
        <v>50</v>
      </c>
      <c r="H23" s="54" t="s">
        <v>106</v>
      </c>
      <c r="I23" s="56" t="s">
        <v>101</v>
      </c>
      <c r="J23" s="20">
        <f>SUM(J20:J22)</f>
        <v>2551.37</v>
      </c>
      <c r="K23" s="53" t="str">
        <f t="shared" si="14"/>
        <v>Owed</v>
      </c>
      <c r="L23" s="39">
        <f>SUM(L20:L22)</f>
        <v>4644.09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>&lt;</v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10"/>
      <c r="I24" s="63"/>
      <c r="J24" s="3"/>
      <c r="K24" s="16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>&lt;</v>
      </c>
      <c r="Q24" s="32"/>
    </row>
    <row r="25" ht="36.75" customHeight="1">
      <c r="A25" s="2">
        <v>8.0</v>
      </c>
      <c r="B25" s="45"/>
      <c r="C25" s="4" t="str">
        <f t="shared" ref="C25:C26" si="16">I21</f>
        <v>Mortgage</v>
      </c>
      <c r="D25" s="63">
        <v>1088.62</v>
      </c>
      <c r="E25" s="5">
        <f t="shared" ref="E25:E28" si="17">H$11</f>
        <v>45569</v>
      </c>
      <c r="G25" s="14" t="s">
        <v>65</v>
      </c>
      <c r="H25" s="40">
        <f>F2</f>
        <v>8.28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>&lt;</v>
      </c>
      <c r="Q25" s="32"/>
    </row>
    <row r="26" ht="15.75" customHeight="1">
      <c r="A26" s="2">
        <v>9.0</v>
      </c>
      <c r="B26" s="45"/>
      <c r="C26" s="4" t="str">
        <f t="shared" si="16"/>
        <v>HOA</v>
      </c>
      <c r="D26" s="63">
        <v>682.0</v>
      </c>
      <c r="E26" s="5">
        <f t="shared" si="17"/>
        <v>45569</v>
      </c>
      <c r="H26" s="41">
        <f>G2</f>
        <v>-2092.72</v>
      </c>
      <c r="I26" s="73">
        <f>G17+C3+F2-I15-M50+E11</f>
        <v>-2865.19</v>
      </c>
      <c r="J26" s="73">
        <f>G17+C3+C8+F2-M50</f>
        <v>-1574.44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>&lt;</v>
      </c>
      <c r="Q26" s="32"/>
    </row>
    <row r="27" ht="15.75" customHeight="1">
      <c r="A27" s="2">
        <v>10.0</v>
      </c>
      <c r="B27" s="45"/>
      <c r="C27" s="4" t="str">
        <f t="shared" ref="C27:C29" si="18">B6</f>
        <v>Vacation Savings</v>
      </c>
      <c r="D27" s="63">
        <v>0.0</v>
      </c>
      <c r="E27" s="5">
        <f t="shared" si="17"/>
        <v>45569</v>
      </c>
      <c r="G27" s="16" t="s">
        <v>70</v>
      </c>
      <c r="H27" s="24">
        <f>SUM(H25:H26)</f>
        <v>-2084.44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>&lt;</v>
      </c>
      <c r="Q27" s="32"/>
    </row>
    <row r="28" ht="15.75" customHeight="1">
      <c r="A28" s="4" t="s">
        <v>71</v>
      </c>
      <c r="B28" s="45"/>
      <c r="C28" s="4" t="str">
        <f t="shared" si="18"/>
        <v>Emergency Savings</v>
      </c>
      <c r="D28" s="24">
        <v>624.54</v>
      </c>
      <c r="E28" s="5">
        <f t="shared" si="17"/>
        <v>45569</v>
      </c>
      <c r="G28" s="11" t="s">
        <v>72</v>
      </c>
      <c r="H28" s="24">
        <f>H27-D30</f>
        <v>-4479.6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>&lt;</v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510.0</v>
      </c>
      <c r="E29" s="5">
        <f>F$19</f>
        <v>45569</v>
      </c>
      <c r="G29" s="2" t="s">
        <v>73</v>
      </c>
      <c r="H29" s="24">
        <f>H27+G17</f>
        <v>-2084.44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>&lt;</v>
      </c>
      <c r="Q29" s="32"/>
    </row>
    <row r="30" ht="15.75" customHeight="1">
      <c r="C30" s="4" t="s">
        <v>70</v>
      </c>
      <c r="D30" s="24">
        <f>SUM(D25:D28)</f>
        <v>2395.16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-2865.19</v>
      </c>
      <c r="O34" s="37">
        <f>N34/Q50</f>
        <v>-204.6564286</v>
      </c>
      <c r="P34" s="37">
        <f>O34/Q50</f>
        <v>-14.61831633</v>
      </c>
      <c r="Q34" s="37">
        <f>P34/Q50</f>
        <v>-1.044165452</v>
      </c>
    </row>
    <row r="35" ht="15.75" customHeight="1">
      <c r="A35" s="80" t="s">
        <v>8</v>
      </c>
      <c r="B35" s="83">
        <f>C$2</f>
        <v>45555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-2865.19</v>
      </c>
      <c r="O35" s="85">
        <f t="shared" ref="O35:O48" si="19">O34-M35/Q$50</f>
        <v>-204.6564286</v>
      </c>
      <c r="P35" s="85">
        <f t="shared" ref="P35:P48" si="20">P34-M35/Q$50</f>
        <v>-14.61831633</v>
      </c>
      <c r="Q35" s="85">
        <f t="shared" ref="Q35:Q48" si="21">Q34-M35/Q$50</f>
        <v>-1.044165452</v>
      </c>
    </row>
    <row r="36" ht="15.75" customHeight="1">
      <c r="A36" s="80" t="s">
        <v>89</v>
      </c>
      <c r="B36" s="83">
        <f>C$2+1</f>
        <v>45556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>
        <f t="shared" ref="N36:N48" si="23">N35-M36/Q$50</f>
        <v>-2865.19</v>
      </c>
      <c r="O36" s="85">
        <f t="shared" si="19"/>
        <v>-204.6564286</v>
      </c>
      <c r="P36" s="85">
        <f t="shared" si="20"/>
        <v>-14.61831633</v>
      </c>
      <c r="Q36" s="85">
        <f t="shared" si="21"/>
        <v>-1.044165452</v>
      </c>
    </row>
    <row r="37" ht="15.75" customHeight="1">
      <c r="A37" s="80" t="s">
        <v>90</v>
      </c>
      <c r="B37" s="83">
        <f>C$2+3</f>
        <v>45558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>
        <f t="shared" si="23"/>
        <v>-2865.19</v>
      </c>
      <c r="O37" s="85">
        <f t="shared" si="19"/>
        <v>-204.6564286</v>
      </c>
      <c r="P37" s="85">
        <f t="shared" si="20"/>
        <v>-14.61831633</v>
      </c>
      <c r="Q37" s="85">
        <f t="shared" si="21"/>
        <v>-1.044165452</v>
      </c>
    </row>
    <row r="38" ht="15.75" customHeight="1">
      <c r="A38" s="80" t="s">
        <v>91</v>
      </c>
      <c r="B38" s="83">
        <f>C$2+4</f>
        <v>45559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>
        <f t="shared" si="23"/>
        <v>-2865.19</v>
      </c>
      <c r="O38" s="85">
        <f t="shared" si="19"/>
        <v>-204.6564286</v>
      </c>
      <c r="P38" s="85">
        <f t="shared" si="20"/>
        <v>-14.61831633</v>
      </c>
      <c r="Q38" s="85">
        <f t="shared" si="21"/>
        <v>-1.044165452</v>
      </c>
    </row>
    <row r="39" ht="15.75" customHeight="1">
      <c r="A39" s="80" t="s">
        <v>92</v>
      </c>
      <c r="B39" s="83">
        <f>C$2+5</f>
        <v>45560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>
        <f t="shared" si="23"/>
        <v>-2865.19</v>
      </c>
      <c r="O39" s="85">
        <f t="shared" si="19"/>
        <v>-204.6564286</v>
      </c>
      <c r="P39" s="85">
        <f t="shared" si="20"/>
        <v>-14.61831633</v>
      </c>
      <c r="Q39" s="85">
        <f t="shared" si="21"/>
        <v>-1.044165452</v>
      </c>
    </row>
    <row r="40" ht="15.0" customHeight="1">
      <c r="A40" s="80" t="s">
        <v>93</v>
      </c>
      <c r="B40" s="83">
        <f>C$2+6</f>
        <v>45561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>
        <f t="shared" si="23"/>
        <v>-2865.19</v>
      </c>
      <c r="O40" s="85">
        <f t="shared" si="19"/>
        <v>-204.6564286</v>
      </c>
      <c r="P40" s="85">
        <f t="shared" si="20"/>
        <v>-14.61831633</v>
      </c>
      <c r="Q40" s="85">
        <f t="shared" si="21"/>
        <v>-1.044165452</v>
      </c>
    </row>
    <row r="41" ht="12.0" customHeight="1">
      <c r="A41" s="80" t="s">
        <v>94</v>
      </c>
      <c r="B41" s="83">
        <f>C$2+7</f>
        <v>45562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>
        <f t="shared" si="23"/>
        <v>-2865.19</v>
      </c>
      <c r="O41" s="85">
        <f t="shared" si="19"/>
        <v>-204.6564286</v>
      </c>
      <c r="P41" s="85">
        <f t="shared" si="20"/>
        <v>-14.61831633</v>
      </c>
      <c r="Q41" s="85">
        <f t="shared" si="21"/>
        <v>-1.044165452</v>
      </c>
    </row>
    <row r="42" ht="15.75" customHeight="1">
      <c r="A42" s="80" t="s">
        <v>8</v>
      </c>
      <c r="B42" s="83">
        <f>C$2+8</f>
        <v>45563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>
        <f t="shared" si="23"/>
        <v>-2865.19</v>
      </c>
      <c r="O42" s="85">
        <f t="shared" si="19"/>
        <v>-204.6564286</v>
      </c>
      <c r="P42" s="85">
        <f t="shared" si="20"/>
        <v>-14.61831633</v>
      </c>
      <c r="Q42" s="85">
        <f t="shared" si="21"/>
        <v>-1.044165452</v>
      </c>
    </row>
    <row r="43" ht="15.75" customHeight="1">
      <c r="A43" s="80" t="s">
        <v>89</v>
      </c>
      <c r="B43" s="83">
        <f>C$2+9</f>
        <v>45564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>
        <f t="shared" si="23"/>
        <v>-2865.19</v>
      </c>
      <c r="O43" s="85">
        <f t="shared" si="19"/>
        <v>-204.6564286</v>
      </c>
      <c r="P43" s="85">
        <f t="shared" si="20"/>
        <v>-14.61831633</v>
      </c>
      <c r="Q43" s="85">
        <f t="shared" si="21"/>
        <v>-1.044165452</v>
      </c>
    </row>
    <row r="44" ht="15.75" customHeight="1">
      <c r="A44" s="80" t="s">
        <v>90</v>
      </c>
      <c r="B44" s="83">
        <f>C$2+10</f>
        <v>45565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>
        <f t="shared" si="23"/>
        <v>-2865.19</v>
      </c>
      <c r="O44" s="85">
        <f t="shared" si="19"/>
        <v>-204.6564286</v>
      </c>
      <c r="P44" s="85">
        <f t="shared" si="20"/>
        <v>-14.61831633</v>
      </c>
      <c r="Q44" s="85">
        <f t="shared" si="21"/>
        <v>-1.044165452</v>
      </c>
    </row>
    <row r="45" ht="15.75" customHeight="1">
      <c r="A45" s="80" t="s">
        <v>91</v>
      </c>
      <c r="B45" s="83">
        <f>C$2+11</f>
        <v>45566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>
        <f t="shared" si="23"/>
        <v>-2865.19</v>
      </c>
      <c r="O45" s="85">
        <f t="shared" si="19"/>
        <v>-204.6564286</v>
      </c>
      <c r="P45" s="85">
        <f t="shared" si="20"/>
        <v>-14.61831633</v>
      </c>
      <c r="Q45" s="85">
        <f t="shared" si="21"/>
        <v>-1.044165452</v>
      </c>
    </row>
    <row r="46" ht="15.75" customHeight="1">
      <c r="A46" s="80" t="s">
        <v>92</v>
      </c>
      <c r="B46" s="83">
        <f>C$2+12</f>
        <v>45567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>
        <f t="shared" si="23"/>
        <v>-2865.19</v>
      </c>
      <c r="O46" s="85">
        <f t="shared" si="19"/>
        <v>-204.6564286</v>
      </c>
      <c r="P46" s="85">
        <f t="shared" si="20"/>
        <v>-14.61831633</v>
      </c>
      <c r="Q46" s="85">
        <f t="shared" si="21"/>
        <v>-1.044165452</v>
      </c>
    </row>
    <row r="47" ht="15.75" customHeight="1">
      <c r="A47" s="80" t="s">
        <v>93</v>
      </c>
      <c r="B47" s="83">
        <f>C$2+13</f>
        <v>45568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>
        <f t="shared" si="23"/>
        <v>-2865.19</v>
      </c>
      <c r="O47" s="85">
        <f t="shared" si="19"/>
        <v>-204.6564286</v>
      </c>
      <c r="P47" s="85">
        <f t="shared" si="20"/>
        <v>-14.61831633</v>
      </c>
      <c r="Q47" s="85">
        <f t="shared" si="21"/>
        <v>-1.044165452</v>
      </c>
    </row>
    <row r="48" ht="15.75" customHeight="1">
      <c r="A48" s="80" t="s">
        <v>94</v>
      </c>
      <c r="B48" s="83">
        <f>C$2+14</f>
        <v>45569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>
        <f t="shared" si="23"/>
        <v>-2865.19</v>
      </c>
      <c r="O48" s="85">
        <f t="shared" si="19"/>
        <v>-204.6564286</v>
      </c>
      <c r="P48" s="85">
        <f t="shared" si="20"/>
        <v>-14.61831633</v>
      </c>
      <c r="Q48" s="85">
        <f t="shared" si="21"/>
        <v>-1.044165452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1.374561033</v>
      </c>
      <c r="O50" s="37">
        <f>(N34-M50)/Q50</f>
        <v>-204.6564286</v>
      </c>
      <c r="P50" s="88">
        <f>100% -N50</f>
        <v>-0.3745610332</v>
      </c>
      <c r="Q50" s="16">
        <f>G19</f>
        <v>14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3.57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91</v>
      </c>
      <c r="C2" s="5">
        <v>45541.0</v>
      </c>
      <c r="D2" s="6" t="s">
        <v>103</v>
      </c>
      <c r="E2" s="10">
        <v>0.0</v>
      </c>
      <c r="F2" s="8">
        <v>2.62</v>
      </c>
      <c r="G2" s="9">
        <f>C3</f>
        <v>700</v>
      </c>
      <c r="H2" s="10">
        <v>0.0</v>
      </c>
      <c r="I2" s="10">
        <f>E2+G2</f>
        <v>700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700</v>
      </c>
      <c r="D3" s="13">
        <v>700.0</v>
      </c>
      <c r="F3" s="10">
        <f>-F2+500</f>
        <v>497.38</v>
      </c>
      <c r="G3" s="10">
        <f>E2</f>
        <v>0</v>
      </c>
      <c r="I3" s="10">
        <f>F2+C9</f>
        <v>2.62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1782</v>
      </c>
      <c r="D4" s="16" t="s">
        <v>14</v>
      </c>
      <c r="E4" s="16" t="s">
        <v>15</v>
      </c>
      <c r="F4" s="18">
        <f>F3+F2</f>
        <v>500</v>
      </c>
      <c r="G4" s="18">
        <f>G2+G3</f>
        <v>700</v>
      </c>
      <c r="I4" s="19">
        <f>SUM(I2:I3)</f>
        <v>702.62</v>
      </c>
      <c r="J4" s="20">
        <f>B12+I4+G17</f>
        <v>-1997.38</v>
      </c>
      <c r="K4" s="11" t="str">
        <f>IF(J4&gt;=0, "Fuel Up", "Left Over Debt")</f>
        <v>Left Over Debt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45541</v>
      </c>
    </row>
    <row r="5">
      <c r="A5" s="1"/>
      <c r="B5" s="2" t="s">
        <v>18</v>
      </c>
      <c r="C5" s="10">
        <f>SUM(D5:E5)-E11</f>
        <v>293.79</v>
      </c>
      <c r="D5" s="24">
        <v>257.8</v>
      </c>
      <c r="E5" s="24">
        <v>35.99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>SUM(D6:E6)</f>
        <v>0</v>
      </c>
      <c r="D6" s="24">
        <v>0.0</v>
      </c>
      <c r="E6" s="24">
        <f t="shared" ref="E6:E9" si="3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v>4.87</v>
      </c>
      <c r="D7" s="24">
        <f t="shared" ref="D7:D8" si="4">0+D28</f>
        <v>0</v>
      </c>
      <c r="E7" s="24">
        <f t="shared" si="3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v>20.0</v>
      </c>
      <c r="D8" s="24">
        <f t="shared" si="4"/>
        <v>0</v>
      </c>
      <c r="E8" s="24">
        <f t="shared" si="3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4">
        <f t="shared" si="3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700</v>
      </c>
      <c r="D10" s="24"/>
      <c r="E10" s="24"/>
      <c r="F10" s="10"/>
      <c r="H10" s="17" t="s">
        <v>104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10">
        <f>F6+F7+F8+F9+D27</f>
        <v>0</v>
      </c>
      <c r="H11" s="31">
        <v>45541.0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-2700</v>
      </c>
      <c r="C12" s="11" t="s">
        <v>30</v>
      </c>
      <c r="D12" s="11" t="s">
        <v>31</v>
      </c>
      <c r="E12" s="11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1800.0</v>
      </c>
      <c r="C13" s="35">
        <v>0.0</v>
      </c>
      <c r="D13" s="24">
        <f t="shared" ref="D13:D14" si="5">B13-C13</f>
        <v>1800</v>
      </c>
      <c r="E13" s="36">
        <f t="shared" ref="E13:E14" si="6">I13</f>
        <v>0</v>
      </c>
      <c r="F13" s="24">
        <f t="shared" ref="F13:F14" si="7">B13-E13</f>
        <v>1800</v>
      </c>
      <c r="G13" s="37">
        <f>H13-C2</f>
        <v>0</v>
      </c>
      <c r="H13" s="38">
        <f>H$11</f>
        <v>45541</v>
      </c>
      <c r="I13" s="24">
        <v>0.0</v>
      </c>
      <c r="J13" s="25">
        <f>B13</f>
        <v>1800</v>
      </c>
      <c r="K13" s="11" t="s">
        <v>41</v>
      </c>
      <c r="L13" s="24">
        <f t="shared" ref="L13:L14" si="8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900.0</v>
      </c>
      <c r="C14" s="35">
        <v>0.0</v>
      </c>
      <c r="D14" s="24">
        <f t="shared" si="5"/>
        <v>900</v>
      </c>
      <c r="E14" s="36">
        <f t="shared" si="6"/>
        <v>0</v>
      </c>
      <c r="F14" s="24">
        <f t="shared" si="7"/>
        <v>900</v>
      </c>
      <c r="G14" s="37">
        <f>H14-C2</f>
        <v>14</v>
      </c>
      <c r="H14" s="38">
        <f>F21</f>
        <v>45555</v>
      </c>
      <c r="I14" s="24">
        <v>0.0</v>
      </c>
      <c r="J14" s="25">
        <f>B14-0</f>
        <v>900</v>
      </c>
      <c r="K14" s="11" t="s">
        <v>41</v>
      </c>
      <c r="L14" s="24">
        <f t="shared" si="8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91">
        <f t="shared" ref="B15:F15" si="9">SUM(B13:B14)</f>
        <v>2700</v>
      </c>
      <c r="C15" s="35">
        <f t="shared" si="9"/>
        <v>0</v>
      </c>
      <c r="D15" s="24">
        <f t="shared" si="9"/>
        <v>2700</v>
      </c>
      <c r="E15" s="36">
        <f t="shared" si="9"/>
        <v>0</v>
      </c>
      <c r="F15" s="40">
        <f t="shared" si="9"/>
        <v>2700</v>
      </c>
      <c r="G15" s="37"/>
      <c r="H15" s="11" t="s">
        <v>44</v>
      </c>
      <c r="I15" s="41">
        <f t="shared" ref="I15:J15" si="10">SUM(I13:I14)</f>
        <v>0</v>
      </c>
      <c r="J15" s="25">
        <f t="shared" si="10"/>
        <v>2700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92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45541</v>
      </c>
      <c r="G19" s="11">
        <f>F19-E23</f>
        <v>0</v>
      </c>
      <c r="H19" s="16" t="s">
        <v>51</v>
      </c>
      <c r="J19" s="16" t="s">
        <v>52</v>
      </c>
      <c r="K19" s="16" t="s">
        <v>53</v>
      </c>
      <c r="L19" s="52" t="s">
        <v>107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14.0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45555</v>
      </c>
      <c r="G21" s="53" t="str">
        <f>IMSUB(F23,F21)</f>
        <v>14</v>
      </c>
      <c r="H21" s="54" t="s">
        <v>106</v>
      </c>
      <c r="I21" s="55" t="s">
        <v>59</v>
      </c>
      <c r="J21" s="56">
        <f t="shared" ref="J21:J22" si="11">D25</f>
        <v>1100</v>
      </c>
      <c r="K21" s="53" t="str">
        <f t="shared" ref="K21:K23" si="12">IF(J21 =L21, "Paid", "Owed")</f>
        <v>Paid</v>
      </c>
      <c r="L21" s="39">
        <f t="shared" ref="L21:L22" si="13">D25</f>
        <v>1100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14.0</v>
      </c>
      <c r="G22" s="53" t="s">
        <v>55</v>
      </c>
      <c r="H22" s="54" t="s">
        <v>56</v>
      </c>
      <c r="I22" s="55" t="s">
        <v>60</v>
      </c>
      <c r="J22" s="56">
        <f t="shared" si="11"/>
        <v>682</v>
      </c>
      <c r="K22" s="53" t="str">
        <f t="shared" si="12"/>
        <v>Paid</v>
      </c>
      <c r="L22" s="39">
        <f t="shared" si="13"/>
        <v>682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45541</v>
      </c>
      <c r="F23" s="90">
        <f>SUM(F21:F22)</f>
        <v>45569</v>
      </c>
      <c r="G23" s="53" t="str">
        <f>IMSUB(F23,E23)</f>
        <v>28</v>
      </c>
      <c r="H23" s="54" t="s">
        <v>106</v>
      </c>
      <c r="I23" s="56" t="s">
        <v>101</v>
      </c>
      <c r="J23" s="20">
        <f>SUM(J20:J22)</f>
        <v>1782</v>
      </c>
      <c r="K23" s="53" t="str">
        <f t="shared" si="12"/>
        <v>Paid</v>
      </c>
      <c r="L23" s="39">
        <f>SUM(L20:L22)</f>
        <v>1782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10"/>
      <c r="I24" s="63"/>
      <c r="J24" s="3"/>
      <c r="K24" s="16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>&lt;</v>
      </c>
      <c r="Q24" s="32"/>
    </row>
    <row r="25" ht="36.75" customHeight="1">
      <c r="A25" s="2">
        <v>8.0</v>
      </c>
      <c r="B25" s="45"/>
      <c r="C25" s="4" t="str">
        <f t="shared" ref="C25:C26" si="14">I21</f>
        <v>Mortgage</v>
      </c>
      <c r="D25" s="63">
        <v>1100.0</v>
      </c>
      <c r="E25" s="5">
        <f t="shared" ref="E25:E28" si="15">H$11</f>
        <v>45541</v>
      </c>
      <c r="G25" s="14" t="s">
        <v>65</v>
      </c>
      <c r="H25" s="40">
        <f>F2</f>
        <v>2.62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>&lt;</v>
      </c>
      <c r="Q25" s="32"/>
    </row>
    <row r="26" ht="15.75" customHeight="1">
      <c r="A26" s="2">
        <v>9.0</v>
      </c>
      <c r="B26" s="45"/>
      <c r="C26" s="4" t="str">
        <f t="shared" si="14"/>
        <v>HOA</v>
      </c>
      <c r="D26" s="63">
        <v>682.0</v>
      </c>
      <c r="E26" s="5">
        <f t="shared" si="15"/>
        <v>45541</v>
      </c>
      <c r="H26" s="41">
        <f>G2</f>
        <v>700</v>
      </c>
      <c r="I26" s="73">
        <f>G17+C3+F2-I15-M50+E11</f>
        <v>702.62</v>
      </c>
      <c r="J26" s="73">
        <f>G17+C3+C8+F2-M50</f>
        <v>722.62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>&lt;</v>
      </c>
      <c r="Q26" s="32"/>
    </row>
    <row r="27" ht="15.75" customHeight="1">
      <c r="A27" s="2">
        <v>10.0</v>
      </c>
      <c r="B27" s="45"/>
      <c r="C27" s="4" t="str">
        <f t="shared" ref="C27:C29" si="16">B6</f>
        <v>Vacation Savings</v>
      </c>
      <c r="D27" s="63">
        <v>0.0</v>
      </c>
      <c r="E27" s="5">
        <f t="shared" si="15"/>
        <v>45541</v>
      </c>
      <c r="G27" s="16" t="s">
        <v>70</v>
      </c>
      <c r="H27" s="24">
        <f>SUM(H25:H26)</f>
        <v>702.62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>&lt;</v>
      </c>
      <c r="Q27" s="32"/>
    </row>
    <row r="28" ht="15.75" customHeight="1">
      <c r="A28" s="4" t="s">
        <v>71</v>
      </c>
      <c r="B28" s="45"/>
      <c r="C28" s="4" t="str">
        <f t="shared" si="16"/>
        <v>Emergency Savings</v>
      </c>
      <c r="D28" s="24">
        <v>0.0</v>
      </c>
      <c r="E28" s="5">
        <f t="shared" si="15"/>
        <v>45541</v>
      </c>
      <c r="G28" s="11" t="s">
        <v>72</v>
      </c>
      <c r="H28" s="24">
        <f>H27-D30</f>
        <v>-1079.38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>&lt;</v>
      </c>
      <c r="Q28" s="32"/>
    </row>
    <row r="29" ht="15.75" customHeight="1">
      <c r="A29" s="4"/>
      <c r="B29" s="45"/>
      <c r="C29" s="4" t="str">
        <f t="shared" si="16"/>
        <v>Boost Savings</v>
      </c>
      <c r="D29" s="24">
        <v>0.0</v>
      </c>
      <c r="E29" s="5">
        <f>F$19</f>
        <v>45541</v>
      </c>
      <c r="G29" s="2" t="s">
        <v>73</v>
      </c>
      <c r="H29" s="24">
        <f>H27+G17</f>
        <v>702.62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>&lt;</v>
      </c>
      <c r="Q29" s="32"/>
    </row>
    <row r="30" ht="15.75" customHeight="1">
      <c r="C30" s="4" t="s">
        <v>70</v>
      </c>
      <c r="D30" s="24">
        <f>SUM(D25:D28)</f>
        <v>1782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>&lt;</v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702.62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45541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702.62</v>
      </c>
      <c r="O35" s="85" t="str">
        <f t="shared" ref="O35:O48" si="17">O34-M35/Q$50</f>
        <v>#DIV/0!</v>
      </c>
      <c r="P35" s="85" t="str">
        <f t="shared" ref="P35:P48" si="18">P34-M35/Q$50</f>
        <v>#DIV/0!</v>
      </c>
      <c r="Q35" s="85" t="str">
        <f t="shared" ref="Q35:Q48" si="19">Q34-M35/Q$50</f>
        <v>#DIV/0!</v>
      </c>
    </row>
    <row r="36" ht="15.75" customHeight="1">
      <c r="A36" s="80" t="s">
        <v>89</v>
      </c>
      <c r="B36" s="83">
        <f>C$2+1</f>
        <v>45542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0">SUM(C36:L36)</f>
        <v>0</v>
      </c>
      <c r="N36" s="85" t="str">
        <f t="shared" ref="N36:N48" si="21">N35-M36/Q$50</f>
        <v>#DIV/0!</v>
      </c>
      <c r="O36" s="85" t="str">
        <f t="shared" si="17"/>
        <v>#DIV/0!</v>
      </c>
      <c r="P36" s="85" t="str">
        <f t="shared" si="18"/>
        <v>#DIV/0!</v>
      </c>
      <c r="Q36" s="85" t="str">
        <f t="shared" si="19"/>
        <v>#DIV/0!</v>
      </c>
    </row>
    <row r="37" ht="15.75" customHeight="1">
      <c r="A37" s="80" t="s">
        <v>90</v>
      </c>
      <c r="B37" s="83">
        <f>C$2+3</f>
        <v>45544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0"/>
        <v>0</v>
      </c>
      <c r="N37" s="85" t="str">
        <f t="shared" si="21"/>
        <v>#DIV/0!</v>
      </c>
      <c r="O37" s="85" t="str">
        <f t="shared" si="17"/>
        <v>#DIV/0!</v>
      </c>
      <c r="P37" s="85" t="str">
        <f t="shared" si="18"/>
        <v>#DIV/0!</v>
      </c>
      <c r="Q37" s="85" t="str">
        <f t="shared" si="19"/>
        <v>#DIV/0!</v>
      </c>
    </row>
    <row r="38" ht="15.75" customHeight="1">
      <c r="A38" s="80" t="s">
        <v>91</v>
      </c>
      <c r="B38" s="83">
        <f>C$2+4</f>
        <v>45545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0"/>
        <v>0</v>
      </c>
      <c r="N38" s="85" t="str">
        <f t="shared" si="21"/>
        <v>#DIV/0!</v>
      </c>
      <c r="O38" s="85" t="str">
        <f t="shared" si="17"/>
        <v>#DIV/0!</v>
      </c>
      <c r="P38" s="85" t="str">
        <f t="shared" si="18"/>
        <v>#DIV/0!</v>
      </c>
      <c r="Q38" s="85" t="str">
        <f t="shared" si="19"/>
        <v>#DIV/0!</v>
      </c>
    </row>
    <row r="39" ht="15.75" customHeight="1">
      <c r="A39" s="80" t="s">
        <v>92</v>
      </c>
      <c r="B39" s="83">
        <f>C$2+5</f>
        <v>45546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0"/>
        <v>0</v>
      </c>
      <c r="N39" s="85" t="str">
        <f t="shared" si="21"/>
        <v>#DIV/0!</v>
      </c>
      <c r="O39" s="85" t="str">
        <f t="shared" si="17"/>
        <v>#DIV/0!</v>
      </c>
      <c r="P39" s="85" t="str">
        <f t="shared" si="18"/>
        <v>#DIV/0!</v>
      </c>
      <c r="Q39" s="85" t="str">
        <f t="shared" si="19"/>
        <v>#DIV/0!</v>
      </c>
    </row>
    <row r="40" ht="15.0" customHeight="1">
      <c r="A40" s="80" t="s">
        <v>93</v>
      </c>
      <c r="B40" s="83">
        <f>C$2+6</f>
        <v>45547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0"/>
        <v>0</v>
      </c>
      <c r="N40" s="85" t="str">
        <f t="shared" si="21"/>
        <v>#DIV/0!</v>
      </c>
      <c r="O40" s="85" t="str">
        <f t="shared" si="17"/>
        <v>#DIV/0!</v>
      </c>
      <c r="P40" s="85" t="str">
        <f t="shared" si="18"/>
        <v>#DIV/0!</v>
      </c>
      <c r="Q40" s="85" t="str">
        <f t="shared" si="19"/>
        <v>#DIV/0!</v>
      </c>
    </row>
    <row r="41" ht="12.0" customHeight="1">
      <c r="A41" s="80" t="s">
        <v>94</v>
      </c>
      <c r="B41" s="83">
        <f>C$2+7</f>
        <v>45548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0"/>
        <v>0</v>
      </c>
      <c r="N41" s="85" t="str">
        <f t="shared" si="21"/>
        <v>#DIV/0!</v>
      </c>
      <c r="O41" s="85" t="str">
        <f t="shared" si="17"/>
        <v>#DIV/0!</v>
      </c>
      <c r="P41" s="85" t="str">
        <f t="shared" si="18"/>
        <v>#DIV/0!</v>
      </c>
      <c r="Q41" s="85" t="str">
        <f t="shared" si="19"/>
        <v>#DIV/0!</v>
      </c>
    </row>
    <row r="42" ht="15.75" customHeight="1">
      <c r="A42" s="80" t="s">
        <v>8</v>
      </c>
      <c r="B42" s="83">
        <f>C$2+8</f>
        <v>45549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0"/>
        <v>0</v>
      </c>
      <c r="N42" s="85" t="str">
        <f t="shared" si="21"/>
        <v>#DIV/0!</v>
      </c>
      <c r="O42" s="85" t="str">
        <f t="shared" si="17"/>
        <v>#DIV/0!</v>
      </c>
      <c r="P42" s="85" t="str">
        <f t="shared" si="18"/>
        <v>#DIV/0!</v>
      </c>
      <c r="Q42" s="85" t="str">
        <f t="shared" si="19"/>
        <v>#DIV/0!</v>
      </c>
    </row>
    <row r="43" ht="15.75" customHeight="1">
      <c r="A43" s="80" t="s">
        <v>89</v>
      </c>
      <c r="B43" s="83">
        <f>C$2+9</f>
        <v>45550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0"/>
        <v>0</v>
      </c>
      <c r="N43" s="85" t="str">
        <f t="shared" si="21"/>
        <v>#DIV/0!</v>
      </c>
      <c r="O43" s="85" t="str">
        <f t="shared" si="17"/>
        <v>#DIV/0!</v>
      </c>
      <c r="P43" s="85" t="str">
        <f t="shared" si="18"/>
        <v>#DIV/0!</v>
      </c>
      <c r="Q43" s="85" t="str">
        <f t="shared" si="19"/>
        <v>#DIV/0!</v>
      </c>
    </row>
    <row r="44" ht="15.75" customHeight="1">
      <c r="A44" s="80" t="s">
        <v>90</v>
      </c>
      <c r="B44" s="83">
        <f>C$2+10</f>
        <v>45551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0"/>
        <v>0</v>
      </c>
      <c r="N44" s="85" t="str">
        <f t="shared" si="21"/>
        <v>#DIV/0!</v>
      </c>
      <c r="O44" s="85" t="str">
        <f t="shared" si="17"/>
        <v>#DIV/0!</v>
      </c>
      <c r="P44" s="85" t="str">
        <f t="shared" si="18"/>
        <v>#DIV/0!</v>
      </c>
      <c r="Q44" s="85" t="str">
        <f t="shared" si="19"/>
        <v>#DIV/0!</v>
      </c>
    </row>
    <row r="45" ht="15.75" customHeight="1">
      <c r="A45" s="80" t="s">
        <v>91</v>
      </c>
      <c r="B45" s="83">
        <f>C$2+11</f>
        <v>45552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0"/>
        <v>0</v>
      </c>
      <c r="N45" s="85" t="str">
        <f t="shared" si="21"/>
        <v>#DIV/0!</v>
      </c>
      <c r="O45" s="85" t="str">
        <f t="shared" si="17"/>
        <v>#DIV/0!</v>
      </c>
      <c r="P45" s="85" t="str">
        <f t="shared" si="18"/>
        <v>#DIV/0!</v>
      </c>
      <c r="Q45" s="85" t="str">
        <f t="shared" si="19"/>
        <v>#DIV/0!</v>
      </c>
    </row>
    <row r="46" ht="15.75" customHeight="1">
      <c r="A46" s="80" t="s">
        <v>92</v>
      </c>
      <c r="B46" s="83">
        <f>C$2+12</f>
        <v>45553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0"/>
        <v>0</v>
      </c>
      <c r="N46" s="85" t="str">
        <f t="shared" si="21"/>
        <v>#DIV/0!</v>
      </c>
      <c r="O46" s="85" t="str">
        <f t="shared" si="17"/>
        <v>#DIV/0!</v>
      </c>
      <c r="P46" s="85" t="str">
        <f t="shared" si="18"/>
        <v>#DIV/0!</v>
      </c>
      <c r="Q46" s="85" t="str">
        <f t="shared" si="19"/>
        <v>#DIV/0!</v>
      </c>
    </row>
    <row r="47" ht="15.75" customHeight="1">
      <c r="A47" s="80" t="s">
        <v>93</v>
      </c>
      <c r="B47" s="83">
        <f>C$2+13</f>
        <v>45554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0"/>
        <v>0</v>
      </c>
      <c r="N47" s="85" t="str">
        <f t="shared" si="21"/>
        <v>#DIV/0!</v>
      </c>
      <c r="O47" s="85" t="str">
        <f t="shared" si="17"/>
        <v>#DIV/0!</v>
      </c>
      <c r="P47" s="85" t="str">
        <f t="shared" si="18"/>
        <v>#DIV/0!</v>
      </c>
      <c r="Q47" s="85" t="str">
        <f t="shared" si="19"/>
        <v>#DIV/0!</v>
      </c>
    </row>
    <row r="48" ht="15.75" customHeight="1">
      <c r="A48" s="80" t="s">
        <v>94</v>
      </c>
      <c r="B48" s="83">
        <f>C$2+14</f>
        <v>45555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0"/>
        <v>0</v>
      </c>
      <c r="N48" s="85" t="str">
        <f t="shared" si="21"/>
        <v>#DIV/0!</v>
      </c>
      <c r="O48" s="85" t="str">
        <f t="shared" si="17"/>
        <v>#DIV/0!</v>
      </c>
      <c r="P48" s="85" t="str">
        <f t="shared" si="18"/>
        <v>#DIV/0!</v>
      </c>
      <c r="Q48" s="85" t="str">
        <f t="shared" si="19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2">SUM(C35:C48)</f>
        <v>0</v>
      </c>
      <c r="D50" s="63">
        <f t="shared" si="22"/>
        <v>0</v>
      </c>
      <c r="E50" s="63">
        <f t="shared" ref="E50:L50" si="23">SUM(E36:E48)</f>
        <v>0</v>
      </c>
      <c r="F50" s="63">
        <f t="shared" si="23"/>
        <v>0</v>
      </c>
      <c r="G50" s="63">
        <f t="shared" si="23"/>
        <v>0</v>
      </c>
      <c r="H50" s="63">
        <f t="shared" si="23"/>
        <v>0</v>
      </c>
      <c r="I50" s="63">
        <f t="shared" si="23"/>
        <v>0</v>
      </c>
      <c r="J50" s="63">
        <f t="shared" si="23"/>
        <v>0</v>
      </c>
      <c r="K50" s="63">
        <f t="shared" si="23"/>
        <v>0</v>
      </c>
      <c r="L50" s="63">
        <f t="shared" si="23"/>
        <v>0</v>
      </c>
      <c r="M50" s="63">
        <f>SUM(M35:M48)</f>
        <v>0</v>
      </c>
      <c r="N50" s="88">
        <f>I26/H27</f>
        <v>1</v>
      </c>
      <c r="O50" s="37" t="str">
        <f>(N34-M50)/Q50</f>
        <v>#DIV/0!</v>
      </c>
      <c r="P50" s="88">
        <f>100% -N50</f>
        <v>0</v>
      </c>
      <c r="Q50" s="16">
        <f>G19</f>
        <v>0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2" t="s">
        <v>92</v>
      </c>
      <c r="C2" s="5">
        <v>45784.0</v>
      </c>
      <c r="D2" s="6">
        <v>0.5</v>
      </c>
      <c r="E2" s="7">
        <v>0.0</v>
      </c>
      <c r="F2" s="8">
        <v>0.0</v>
      </c>
      <c r="G2" s="9">
        <f>D3</f>
        <v>0</v>
      </c>
      <c r="H2" s="10">
        <v>0.0</v>
      </c>
      <c r="I2" s="10">
        <f>E2+G2</f>
        <v>0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500</v>
      </c>
      <c r="G3" s="10">
        <f>E2</f>
        <v>0</v>
      </c>
      <c r="I3" s="10">
        <f>F2+C9</f>
        <v>0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0</v>
      </c>
      <c r="D4" s="24">
        <v>0.0</v>
      </c>
      <c r="E4" s="17" t="s">
        <v>15</v>
      </c>
      <c r="F4" s="18">
        <f>F3+F2</f>
        <v>500</v>
      </c>
      <c r="G4" s="18">
        <f>G2+G3</f>
        <v>0</v>
      </c>
      <c r="I4" s="19">
        <f>SUM(I2:I3)</f>
        <v>0</v>
      </c>
      <c r="J4" s="20">
        <f>B12+I4+G17</f>
        <v>0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0</v>
      </c>
    </row>
    <row r="5">
      <c r="A5" s="94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0</v>
      </c>
      <c r="D6" s="24">
        <f t="shared" ref="D6:D8" si="4">0+D27</f>
        <v>0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0</v>
      </c>
      <c r="D7" s="24">
        <f t="shared" si="4"/>
        <v>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0</v>
      </c>
      <c r="D8" s="24">
        <f t="shared" si="4"/>
        <v>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All Clear</v>
      </c>
      <c r="D11" s="2" t="s">
        <v>28</v>
      </c>
      <c r="E11" s="7">
        <f>F6+F7+F8+F9</f>
        <v>0</v>
      </c>
      <c r="H11" s="31">
        <v>45798.0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 t="str">
        <f t="shared" ref="G13:G14" si="9">H13-#REF!</f>
        <v>#REF!</v>
      </c>
      <c r="H13" s="38">
        <v>0.0</v>
      </c>
      <c r="I13" s="24">
        <v>0.0</v>
      </c>
      <c r="J13" s="25">
        <f t="shared" ref="J13:J14" si="10">L13</f>
        <v>0</v>
      </c>
      <c r="K13" s="11" t="s">
        <v>41</v>
      </c>
      <c r="L13" s="24">
        <f t="shared" ref="L13:L14" si="11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 t="str">
        <f t="shared" si="9"/>
        <v>#REF!</v>
      </c>
      <c r="H14" s="38" t="s">
        <v>110</v>
      </c>
      <c r="I14" s="24">
        <v>0.0</v>
      </c>
      <c r="J14" s="25">
        <f t="shared" si="10"/>
        <v>0</v>
      </c>
      <c r="K14" s="11" t="s">
        <v>41</v>
      </c>
      <c r="L14" s="24">
        <f t="shared" si="11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2">SUM(B13:B14)</f>
        <v>0</v>
      </c>
      <c r="C15" s="35">
        <f t="shared" si="12"/>
        <v>0</v>
      </c>
      <c r="D15" s="24">
        <f t="shared" si="12"/>
        <v>0</v>
      </c>
      <c r="E15" s="36">
        <f t="shared" si="12"/>
        <v>0</v>
      </c>
      <c r="F15" s="40">
        <f t="shared" si="12"/>
        <v>0</v>
      </c>
      <c r="G15" s="37"/>
      <c r="H15" s="11" t="s">
        <v>44</v>
      </c>
      <c r="I15" s="41">
        <f t="shared" ref="I15:J15" si="13">SUM(I13:I14)</f>
        <v>0</v>
      </c>
      <c r="J15" s="25">
        <f t="shared" si="13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0.0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0.0</v>
      </c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0.0</v>
      </c>
      <c r="D19" s="11"/>
      <c r="E19" s="2" t="s">
        <v>50</v>
      </c>
      <c r="F19" s="51">
        <f>H11</f>
        <v>45798</v>
      </c>
      <c r="G19" s="11"/>
      <c r="H19" s="16" t="s">
        <v>51</v>
      </c>
      <c r="J19" s="16" t="s">
        <v>52</v>
      </c>
      <c r="K19" s="16" t="s">
        <v>53</v>
      </c>
      <c r="L19" s="52">
        <f>H13</f>
        <v>0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0.0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0.0</v>
      </c>
      <c r="D21" s="11"/>
      <c r="E21" s="1"/>
      <c r="F21" s="89">
        <f>H13</f>
        <v>0</v>
      </c>
      <c r="G21" s="58" t="str">
        <f>F21-E23</f>
        <v>#REF!</v>
      </c>
      <c r="H21" s="59" t="s">
        <v>58</v>
      </c>
      <c r="I21" s="60" t="s">
        <v>59</v>
      </c>
      <c r="J21" s="39">
        <f t="shared" ref="J21:J22" si="14">D25</f>
        <v>0</v>
      </c>
      <c r="K21" s="58" t="str">
        <f t="shared" ref="K21:K23" si="15">IF(J21 =L21, "Paid", "Owed")</f>
        <v>Paid</v>
      </c>
      <c r="L21" s="39">
        <f t="shared" ref="L21:L22" si="16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0.0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4"/>
        <v>0</v>
      </c>
      <c r="K22" s="53" t="str">
        <f t="shared" si="15"/>
        <v>Paid</v>
      </c>
      <c r="L22" s="39">
        <f t="shared" si="16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0.0</v>
      </c>
      <c r="D23" s="11"/>
      <c r="E23" s="38" t="str">
        <f>#REF!</f>
        <v>#REF!</v>
      </c>
      <c r="F23" s="90" t="s">
        <v>113</v>
      </c>
      <c r="G23" s="58" t="str">
        <f>IMSUB(F23,E23)</f>
        <v>#REF!</v>
      </c>
      <c r="H23" s="59" t="s">
        <v>61</v>
      </c>
      <c r="I23" s="39" t="s">
        <v>114</v>
      </c>
      <c r="J23" s="20">
        <f>SUM(J20:J22)</f>
        <v>0</v>
      </c>
      <c r="K23" s="58" t="str">
        <f t="shared" si="15"/>
        <v>Paid</v>
      </c>
      <c r="L23" s="39">
        <f>SUM(L20:L22)</f>
        <v>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0.0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0.0</v>
      </c>
      <c r="C25" s="4" t="str">
        <f t="shared" ref="C25:C26" si="17">I21</f>
        <v>Mortgage</v>
      </c>
      <c r="D25" s="63">
        <v>0.0</v>
      </c>
      <c r="E25" s="5" t="str">
        <f t="shared" ref="E25:E29" si="18">#REF!</f>
        <v>#REF!</v>
      </c>
      <c r="G25" s="14" t="s">
        <v>65</v>
      </c>
      <c r="H25" s="68">
        <f>F2</f>
        <v>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0.0</v>
      </c>
      <c r="C26" s="4" t="str">
        <f t="shared" si="17"/>
        <v>HOA</v>
      </c>
      <c r="D26" s="63">
        <v>0.0</v>
      </c>
      <c r="E26" s="5" t="str">
        <f t="shared" si="18"/>
        <v>#REF!</v>
      </c>
      <c r="H26" s="72">
        <f>G2</f>
        <v>0</v>
      </c>
      <c r="I26" s="73">
        <f>G17+C3+F2-I15-M50+E11</f>
        <v>0</v>
      </c>
      <c r="J26" s="73">
        <f>G17+C3+C8+F2-M50</f>
        <v>0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0.0</v>
      </c>
      <c r="C27" s="4" t="str">
        <f t="shared" ref="C27:C29" si="19">B6</f>
        <v>Vacation Savings</v>
      </c>
      <c r="D27" s="63">
        <v>0.0</v>
      </c>
      <c r="E27" s="5" t="str">
        <f t="shared" si="18"/>
        <v>#REF!</v>
      </c>
      <c r="G27" s="16" t="s">
        <v>70</v>
      </c>
      <c r="H27" s="76">
        <f>SUM(H25:H26)</f>
        <v>0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0.0</v>
      </c>
      <c r="C28" s="4" t="str">
        <f t="shared" si="19"/>
        <v>Emergency Savings</v>
      </c>
      <c r="D28" s="24">
        <v>0.0</v>
      </c>
      <c r="E28" s="5" t="str">
        <f t="shared" si="18"/>
        <v>#REF!</v>
      </c>
      <c r="G28" s="11" t="s">
        <v>72</v>
      </c>
      <c r="H28" s="77">
        <f>H27-D30</f>
        <v>0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9"/>
        <v>Boost Savings</v>
      </c>
      <c r="D29" s="24">
        <v>0.0</v>
      </c>
      <c r="E29" s="5" t="str">
        <f t="shared" si="18"/>
        <v>#REF!</v>
      </c>
      <c r="G29" s="2" t="s">
        <v>73</v>
      </c>
      <c r="H29" s="78">
        <f>H27+G17</f>
        <v>0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0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0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 t="str">
        <f>#REF!</f>
        <v>#REF!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0</v>
      </c>
      <c r="O35" s="85" t="str">
        <f t="shared" ref="O35:O48" si="20">O34-M35/Q$50</f>
        <v>#DIV/0!</v>
      </c>
      <c r="P35" s="85" t="str">
        <f t="shared" ref="P35:P48" si="21">P34-M35/Q$50</f>
        <v>#DIV/0!</v>
      </c>
      <c r="Q35" s="85" t="str">
        <f t="shared" ref="Q35:Q48" si="22">Q34-M35/Q$50</f>
        <v>#DIV/0!</v>
      </c>
    </row>
    <row r="36" ht="15.75" customHeight="1">
      <c r="A36" s="80" t="s">
        <v>89</v>
      </c>
      <c r="B36" s="83" t="str">
        <f>#REF!+1</f>
        <v>#REF!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3">SUM(C36:L36)</f>
        <v>0</v>
      </c>
      <c r="N36" s="85" t="str">
        <f t="shared" ref="N36:N48" si="24">N35-M36/Q$50</f>
        <v>#DIV/0!</v>
      </c>
      <c r="O36" s="85" t="str">
        <f t="shared" si="20"/>
        <v>#DIV/0!</v>
      </c>
      <c r="P36" s="85" t="str">
        <f t="shared" si="21"/>
        <v>#DIV/0!</v>
      </c>
      <c r="Q36" s="85" t="str">
        <f t="shared" si="22"/>
        <v>#DIV/0!</v>
      </c>
    </row>
    <row r="37" ht="15.75" customHeight="1">
      <c r="A37" s="80" t="s">
        <v>90</v>
      </c>
      <c r="B37" s="83" t="str">
        <f>#REF!+3</f>
        <v>#REF!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3"/>
        <v>0</v>
      </c>
      <c r="N37" s="85" t="str">
        <f t="shared" si="24"/>
        <v>#DIV/0!</v>
      </c>
      <c r="O37" s="85" t="str">
        <f t="shared" si="20"/>
        <v>#DIV/0!</v>
      </c>
      <c r="P37" s="85" t="str">
        <f t="shared" si="21"/>
        <v>#DIV/0!</v>
      </c>
      <c r="Q37" s="85" t="str">
        <f t="shared" si="22"/>
        <v>#DIV/0!</v>
      </c>
    </row>
    <row r="38" ht="15.75" customHeight="1">
      <c r="A38" s="80" t="s">
        <v>91</v>
      </c>
      <c r="B38" s="83" t="str">
        <f>#REF!+4</f>
        <v>#REF!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3"/>
        <v>0</v>
      </c>
      <c r="N38" s="85" t="str">
        <f t="shared" si="24"/>
        <v>#DIV/0!</v>
      </c>
      <c r="O38" s="85" t="str">
        <f t="shared" si="20"/>
        <v>#DIV/0!</v>
      </c>
      <c r="P38" s="85" t="str">
        <f t="shared" si="21"/>
        <v>#DIV/0!</v>
      </c>
      <c r="Q38" s="85" t="str">
        <f t="shared" si="22"/>
        <v>#DIV/0!</v>
      </c>
    </row>
    <row r="39" ht="15.75" customHeight="1">
      <c r="A39" s="80" t="s">
        <v>92</v>
      </c>
      <c r="B39" s="83" t="str">
        <f>#REF!+5</f>
        <v>#REF!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3"/>
        <v>0</v>
      </c>
      <c r="N39" s="85" t="str">
        <f t="shared" si="24"/>
        <v>#DIV/0!</v>
      </c>
      <c r="O39" s="85" t="str">
        <f t="shared" si="20"/>
        <v>#DIV/0!</v>
      </c>
      <c r="P39" s="85" t="str">
        <f t="shared" si="21"/>
        <v>#DIV/0!</v>
      </c>
      <c r="Q39" s="85" t="str">
        <f t="shared" si="22"/>
        <v>#DIV/0!</v>
      </c>
    </row>
    <row r="40" ht="15.0" customHeight="1">
      <c r="A40" s="80" t="s">
        <v>93</v>
      </c>
      <c r="B40" s="83" t="str">
        <f>#REF!+6</f>
        <v>#REF!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3"/>
        <v>0</v>
      </c>
      <c r="N40" s="85" t="str">
        <f t="shared" si="24"/>
        <v>#DIV/0!</v>
      </c>
      <c r="O40" s="85" t="str">
        <f t="shared" si="20"/>
        <v>#DIV/0!</v>
      </c>
      <c r="P40" s="85" t="str">
        <f t="shared" si="21"/>
        <v>#DIV/0!</v>
      </c>
      <c r="Q40" s="85" t="str">
        <f t="shared" si="22"/>
        <v>#DIV/0!</v>
      </c>
    </row>
    <row r="41" ht="12.0" customHeight="1">
      <c r="A41" s="80" t="s">
        <v>94</v>
      </c>
      <c r="B41" s="83" t="str">
        <f>#REF!+7</f>
        <v>#REF!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3"/>
        <v>0</v>
      </c>
      <c r="N41" s="85" t="str">
        <f t="shared" si="24"/>
        <v>#DIV/0!</v>
      </c>
      <c r="O41" s="85" t="str">
        <f t="shared" si="20"/>
        <v>#DIV/0!</v>
      </c>
      <c r="P41" s="85" t="str">
        <f t="shared" si="21"/>
        <v>#DIV/0!</v>
      </c>
      <c r="Q41" s="85" t="str">
        <f t="shared" si="22"/>
        <v>#DIV/0!</v>
      </c>
    </row>
    <row r="42" ht="15.75" customHeight="1">
      <c r="A42" s="80" t="s">
        <v>8</v>
      </c>
      <c r="B42" s="83" t="str">
        <f>#REF!+8</f>
        <v>#REF!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3"/>
        <v>0</v>
      </c>
      <c r="N42" s="85" t="str">
        <f t="shared" si="24"/>
        <v>#DIV/0!</v>
      </c>
      <c r="O42" s="85" t="str">
        <f t="shared" si="20"/>
        <v>#DIV/0!</v>
      </c>
      <c r="P42" s="85" t="str">
        <f t="shared" si="21"/>
        <v>#DIV/0!</v>
      </c>
      <c r="Q42" s="85" t="str">
        <f t="shared" si="22"/>
        <v>#DIV/0!</v>
      </c>
    </row>
    <row r="43" ht="15.75" customHeight="1">
      <c r="A43" s="80" t="s">
        <v>89</v>
      </c>
      <c r="B43" s="83" t="str">
        <f>#REF!+9</f>
        <v>#REF!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3"/>
        <v>0</v>
      </c>
      <c r="N43" s="85" t="str">
        <f t="shared" si="24"/>
        <v>#DIV/0!</v>
      </c>
      <c r="O43" s="85" t="str">
        <f t="shared" si="20"/>
        <v>#DIV/0!</v>
      </c>
      <c r="P43" s="85" t="str">
        <f t="shared" si="21"/>
        <v>#DIV/0!</v>
      </c>
      <c r="Q43" s="85" t="str">
        <f t="shared" si="22"/>
        <v>#DIV/0!</v>
      </c>
    </row>
    <row r="44" ht="15.75" customHeight="1">
      <c r="A44" s="80" t="s">
        <v>90</v>
      </c>
      <c r="B44" s="83" t="str">
        <f>#REF!+10</f>
        <v>#REF!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3"/>
        <v>0</v>
      </c>
      <c r="N44" s="85" t="str">
        <f t="shared" si="24"/>
        <v>#DIV/0!</v>
      </c>
      <c r="O44" s="85" t="str">
        <f t="shared" si="20"/>
        <v>#DIV/0!</v>
      </c>
      <c r="P44" s="85" t="str">
        <f t="shared" si="21"/>
        <v>#DIV/0!</v>
      </c>
      <c r="Q44" s="85" t="str">
        <f t="shared" si="22"/>
        <v>#DIV/0!</v>
      </c>
    </row>
    <row r="45" ht="15.75" customHeight="1">
      <c r="A45" s="80" t="s">
        <v>91</v>
      </c>
      <c r="B45" s="83" t="str">
        <f>#REF!+11</f>
        <v>#REF!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3"/>
        <v>0</v>
      </c>
      <c r="N45" s="85" t="str">
        <f t="shared" si="24"/>
        <v>#DIV/0!</v>
      </c>
      <c r="O45" s="85" t="str">
        <f t="shared" si="20"/>
        <v>#DIV/0!</v>
      </c>
      <c r="P45" s="85" t="str">
        <f t="shared" si="21"/>
        <v>#DIV/0!</v>
      </c>
      <c r="Q45" s="85" t="str">
        <f t="shared" si="22"/>
        <v>#DIV/0!</v>
      </c>
    </row>
    <row r="46" ht="15.75" customHeight="1">
      <c r="A46" s="80" t="s">
        <v>92</v>
      </c>
      <c r="B46" s="83" t="str">
        <f>#REF!+12</f>
        <v>#REF!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3"/>
        <v>0</v>
      </c>
      <c r="N46" s="85" t="str">
        <f t="shared" si="24"/>
        <v>#DIV/0!</v>
      </c>
      <c r="O46" s="85" t="str">
        <f t="shared" si="20"/>
        <v>#DIV/0!</v>
      </c>
      <c r="P46" s="85" t="str">
        <f t="shared" si="21"/>
        <v>#DIV/0!</v>
      </c>
      <c r="Q46" s="85" t="str">
        <f t="shared" si="22"/>
        <v>#DIV/0!</v>
      </c>
    </row>
    <row r="47" ht="15.75" customHeight="1">
      <c r="A47" s="80" t="s">
        <v>93</v>
      </c>
      <c r="B47" s="83" t="str">
        <f>#REF!+13</f>
        <v>#REF!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3"/>
        <v>0</v>
      </c>
      <c r="N47" s="85" t="str">
        <f t="shared" si="24"/>
        <v>#DIV/0!</v>
      </c>
      <c r="O47" s="85" t="str">
        <f t="shared" si="20"/>
        <v>#DIV/0!</v>
      </c>
      <c r="P47" s="85" t="str">
        <f t="shared" si="21"/>
        <v>#DIV/0!</v>
      </c>
      <c r="Q47" s="85" t="str">
        <f t="shared" si="22"/>
        <v>#DIV/0!</v>
      </c>
    </row>
    <row r="48" ht="15.75" customHeight="1">
      <c r="A48" s="80" t="s">
        <v>94</v>
      </c>
      <c r="B48" s="83" t="str">
        <f>#REF!+14</f>
        <v>#REF!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3"/>
        <v>0</v>
      </c>
      <c r="N48" s="85" t="str">
        <f t="shared" si="24"/>
        <v>#DIV/0!</v>
      </c>
      <c r="O48" s="85" t="str">
        <f t="shared" si="20"/>
        <v>#DIV/0!</v>
      </c>
      <c r="P48" s="85" t="str">
        <f t="shared" si="21"/>
        <v>#DIV/0!</v>
      </c>
      <c r="Q48" s="85" t="str">
        <f t="shared" si="22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5">SUM(C35:C48)</f>
        <v>0</v>
      </c>
      <c r="D50" s="63">
        <f t="shared" si="25"/>
        <v>0</v>
      </c>
      <c r="E50" s="63">
        <f t="shared" ref="E50:L50" si="26">SUM(E36:E48)</f>
        <v>0</v>
      </c>
      <c r="F50" s="63">
        <f t="shared" si="26"/>
        <v>0</v>
      </c>
      <c r="G50" s="63">
        <f t="shared" si="26"/>
        <v>0</v>
      </c>
      <c r="H50" s="63">
        <f t="shared" si="26"/>
        <v>0</v>
      </c>
      <c r="I50" s="63">
        <f t="shared" si="26"/>
        <v>0</v>
      </c>
      <c r="J50" s="63">
        <f t="shared" si="26"/>
        <v>0</v>
      </c>
      <c r="K50" s="63">
        <f t="shared" si="26"/>
        <v>0</v>
      </c>
      <c r="L50" s="63">
        <f t="shared" si="26"/>
        <v>0</v>
      </c>
      <c r="M50" s="63">
        <f>SUM(M35:M48)</f>
        <v>0</v>
      </c>
      <c r="N50" s="88" t="str">
        <f>I26/H27</f>
        <v>#DIV/0!</v>
      </c>
      <c r="O50" s="37" t="str">
        <f>(N34-M50)/Q50</f>
        <v>#DIV/0!</v>
      </c>
      <c r="P50" s="88" t="str">
        <f>100% -N50</f>
        <v>#DIV/0!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92</v>
      </c>
      <c r="C2" s="5">
        <v>45611.0</v>
      </c>
      <c r="D2" s="6" t="s">
        <v>115</v>
      </c>
      <c r="E2" s="7">
        <f>C4+C6+C7+C8</f>
        <v>25</v>
      </c>
      <c r="F2" s="8">
        <v>43.23</v>
      </c>
      <c r="G2" s="9">
        <f>D3</f>
        <v>0</v>
      </c>
      <c r="H2" s="10">
        <v>0.0</v>
      </c>
      <c r="I2" s="10">
        <f>E2+G2</f>
        <v>25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456.77</v>
      </c>
      <c r="G3" s="10">
        <f>E2</f>
        <v>25</v>
      </c>
      <c r="I3" s="10">
        <f>F2+C9</f>
        <v>43.23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f>D25+D26</f>
        <v>10</v>
      </c>
      <c r="D4" s="16" t="s">
        <v>14</v>
      </c>
      <c r="E4" s="17" t="s">
        <v>15</v>
      </c>
      <c r="F4" s="18">
        <f>F3+F2</f>
        <v>500</v>
      </c>
      <c r="G4" s="18">
        <f>G2+G3</f>
        <v>25</v>
      </c>
      <c r="I4" s="19">
        <f>SUM(I2:I3)</f>
        <v>68.23</v>
      </c>
      <c r="J4" s="20">
        <f>B12+I4+G17</f>
        <v>48.59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45617</v>
      </c>
    </row>
    <row r="5">
      <c r="A5" s="1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8" si="3">D27</f>
        <v>10</v>
      </c>
      <c r="D6" s="24">
        <f t="shared" ref="D6:D8" si="4">0+D27</f>
        <v>10</v>
      </c>
      <c r="E6" s="25">
        <f t="shared" ref="E6:E9" si="5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0</v>
      </c>
      <c r="D7" s="24">
        <f t="shared" si="4"/>
        <v>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5</v>
      </c>
      <c r="D8" s="24">
        <f t="shared" si="4"/>
        <v>5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1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26</v>
      </c>
      <c r="B11" s="30" t="s">
        <v>27</v>
      </c>
      <c r="C11" s="10"/>
      <c r="D11" s="2" t="s">
        <v>28</v>
      </c>
      <c r="E11" s="7">
        <f>F6+F7+F8+F9</f>
        <v>0</v>
      </c>
      <c r="H11" s="31">
        <v>45617.0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-19.64</v>
      </c>
      <c r="C12" s="11" t="s">
        <v>30</v>
      </c>
      <c r="D12" s="11" t="s">
        <v>31</v>
      </c>
      <c r="E12" s="14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26.97</v>
      </c>
      <c r="C13" s="35">
        <v>0.0</v>
      </c>
      <c r="D13" s="24">
        <f t="shared" ref="D13:D14" si="6">B13-C13</f>
        <v>26.97</v>
      </c>
      <c r="E13" s="36">
        <f t="shared" ref="E13:E14" si="7">I13</f>
        <v>0</v>
      </c>
      <c r="F13" s="24">
        <f t="shared" ref="F13:F14" si="8">B13-E13</f>
        <v>26.97</v>
      </c>
      <c r="G13" s="37">
        <f>H13-C2</f>
        <v>22</v>
      </c>
      <c r="H13" s="38">
        <f>F21</f>
        <v>45633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-7.33</v>
      </c>
      <c r="C14" s="35">
        <v>0.0</v>
      </c>
      <c r="D14" s="24">
        <f t="shared" si="6"/>
        <v>-7.33</v>
      </c>
      <c r="E14" s="36">
        <f t="shared" si="7"/>
        <v>0</v>
      </c>
      <c r="F14" s="24">
        <f t="shared" si="8"/>
        <v>-7.33</v>
      </c>
      <c r="G14" s="37">
        <f>H14-C2</f>
        <v>-45611</v>
      </c>
      <c r="H14" s="38">
        <f>F23</f>
        <v>0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19.64</v>
      </c>
      <c r="C15" s="35">
        <f t="shared" si="11"/>
        <v>0</v>
      </c>
      <c r="D15" s="24">
        <f t="shared" si="11"/>
        <v>19.64</v>
      </c>
      <c r="E15" s="36">
        <f t="shared" si="11"/>
        <v>0</v>
      </c>
      <c r="F15" s="40">
        <f t="shared" si="11"/>
        <v>19.64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0.0</v>
      </c>
      <c r="C17" s="11" t="s">
        <v>47</v>
      </c>
      <c r="D17" s="46"/>
      <c r="F17" s="47" t="s">
        <v>48</v>
      </c>
      <c r="G17" s="48">
        <v>0.0</v>
      </c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0.0</v>
      </c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0.0</v>
      </c>
      <c r="D19" s="11"/>
      <c r="E19" s="2" t="s">
        <v>50</v>
      </c>
      <c r="F19" s="51">
        <f>H11</f>
        <v>45617</v>
      </c>
      <c r="G19" s="11"/>
      <c r="H19" s="16" t="s">
        <v>51</v>
      </c>
      <c r="J19" s="16" t="s">
        <v>52</v>
      </c>
      <c r="K19" s="16" t="s">
        <v>53</v>
      </c>
      <c r="L19" s="52" t="s">
        <v>116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0.0</v>
      </c>
      <c r="D20" s="11"/>
      <c r="E20" s="1"/>
      <c r="F20" s="11" t="s">
        <v>117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0.0</v>
      </c>
      <c r="D21" s="11"/>
      <c r="E21" s="1"/>
      <c r="F21" s="89">
        <v>45633.0</v>
      </c>
      <c r="G21" s="58">
        <f>F19-E23</f>
        <v>6</v>
      </c>
      <c r="H21" s="59" t="s">
        <v>58</v>
      </c>
      <c r="I21" s="60" t="s">
        <v>59</v>
      </c>
      <c r="J21" s="39">
        <f t="shared" ref="J21:J22" si="13">D25</f>
        <v>10</v>
      </c>
      <c r="K21" s="58" t="str">
        <f t="shared" ref="K21:K23" si="14">IF(J21 =L21, "Paid", "Owed")</f>
        <v>Paid</v>
      </c>
      <c r="L21" s="39">
        <f t="shared" ref="L21:L22" si="15">D25</f>
        <v>10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0.0</v>
      </c>
      <c r="D22" s="11"/>
      <c r="E22" s="1"/>
      <c r="F22" s="11" t="s">
        <v>117</v>
      </c>
      <c r="G22" s="53" t="s">
        <v>55</v>
      </c>
      <c r="H22" s="54" t="s">
        <v>56</v>
      </c>
      <c r="I22" s="55" t="s">
        <v>60</v>
      </c>
      <c r="J22" s="56">
        <f t="shared" si="13"/>
        <v>0</v>
      </c>
      <c r="K22" s="53" t="str">
        <f t="shared" si="14"/>
        <v>Paid</v>
      </c>
      <c r="L22" s="39">
        <f t="shared" si="15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0.0</v>
      </c>
      <c r="D23" s="11"/>
      <c r="E23" s="38">
        <f>C2</f>
        <v>45611</v>
      </c>
      <c r="F23" s="90">
        <v>0.0</v>
      </c>
      <c r="G23" s="58" t="str">
        <f>IMSUB(F23,E23)</f>
        <v>-45611</v>
      </c>
      <c r="H23" s="59" t="s">
        <v>61</v>
      </c>
      <c r="I23" s="39" t="s">
        <v>62</v>
      </c>
      <c r="J23" s="20">
        <f>SUM(J20:J22)</f>
        <v>10</v>
      </c>
      <c r="K23" s="58" t="str">
        <f t="shared" si="14"/>
        <v>Paid</v>
      </c>
      <c r="L23" s="39">
        <f>SUM(L20:L22)</f>
        <v>10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0.0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0.0</v>
      </c>
      <c r="C25" s="4" t="str">
        <f t="shared" ref="C25:C26" si="16">I21</f>
        <v>Mortgage</v>
      </c>
      <c r="D25" s="63">
        <v>10.0</v>
      </c>
      <c r="E25" s="5">
        <f t="shared" ref="E25:E29" si="17">C$2</f>
        <v>45611</v>
      </c>
      <c r="G25" s="14" t="s">
        <v>65</v>
      </c>
      <c r="H25" s="68">
        <f>F2</f>
        <v>43.23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0.0</v>
      </c>
      <c r="C26" s="4" t="str">
        <f t="shared" si="16"/>
        <v>HOA</v>
      </c>
      <c r="D26" s="63">
        <v>0.0</v>
      </c>
      <c r="E26" s="5">
        <f t="shared" si="17"/>
        <v>45611</v>
      </c>
      <c r="H26" s="72">
        <f>G2</f>
        <v>0</v>
      </c>
      <c r="I26" s="73">
        <f>G17+C3+F2-I15-M50+E11</f>
        <v>43.23</v>
      </c>
      <c r="J26" s="73">
        <f>G17+C3+C8+F2-M50</f>
        <v>48.23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0.0</v>
      </c>
      <c r="C27" s="4" t="str">
        <f t="shared" ref="C27:C29" si="18">B6</f>
        <v>Vacation Savings</v>
      </c>
      <c r="D27" s="63">
        <v>10.0</v>
      </c>
      <c r="E27" s="5">
        <f t="shared" si="17"/>
        <v>45611</v>
      </c>
      <c r="G27" s="16" t="s">
        <v>70</v>
      </c>
      <c r="H27" s="76">
        <f>SUM(H25:H26)</f>
        <v>43.23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0.0</v>
      </c>
      <c r="C28" s="4" t="str">
        <f t="shared" si="18"/>
        <v>Emergency Savings</v>
      </c>
      <c r="D28" s="24">
        <v>0.0</v>
      </c>
      <c r="E28" s="5">
        <f t="shared" si="17"/>
        <v>45611</v>
      </c>
      <c r="G28" s="11" t="s">
        <v>72</v>
      </c>
      <c r="H28" s="77">
        <f>H27-D30</f>
        <v>18.23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5.0</v>
      </c>
      <c r="E29" s="5">
        <f t="shared" si="17"/>
        <v>45611</v>
      </c>
      <c r="G29" s="2" t="s">
        <v>73</v>
      </c>
      <c r="H29" s="78">
        <f>H27+G17</f>
        <v>43.23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25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43.23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45611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43.23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45612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45614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45615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45616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45617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45618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45619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45620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45621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45622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45623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45624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45625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 t="str">
        <f>(N34-M50)/Q50</f>
        <v>#DIV/0!</v>
      </c>
      <c r="P50" s="88">
        <f>100% -N50</f>
        <v>0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5" t="s">
        <v>92</v>
      </c>
      <c r="C2" s="5">
        <v>45793.0</v>
      </c>
      <c r="D2" s="6" t="s">
        <v>118</v>
      </c>
      <c r="E2" s="7">
        <v>1965.0</v>
      </c>
      <c r="F2" s="8">
        <v>1012.93</v>
      </c>
      <c r="G2" s="9">
        <f>D3</f>
        <v>336.46</v>
      </c>
      <c r="H2" s="10">
        <v>0.0</v>
      </c>
      <c r="I2" s="10">
        <f>E2+G2</f>
        <v>2301.46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336.46</v>
      </c>
      <c r="D3" s="13">
        <v>336.46</v>
      </c>
      <c r="E3" s="3"/>
      <c r="F3" s="10">
        <f>-F2+500</f>
        <v>-512.93</v>
      </c>
      <c r="G3" s="10">
        <f>E2</f>
        <v>1965</v>
      </c>
      <c r="I3" s="10">
        <f>F2+C9</f>
        <v>1012.93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1629.12</v>
      </c>
      <c r="D4" s="24">
        <v>0.0</v>
      </c>
      <c r="E4" s="17" t="s">
        <v>15</v>
      </c>
      <c r="F4" s="18">
        <f>F3+F2</f>
        <v>500</v>
      </c>
      <c r="G4" s="18">
        <f>G2+G3</f>
        <v>2301.46</v>
      </c>
      <c r="I4" s="19">
        <f>SUM(I2:I3)</f>
        <v>3314.39</v>
      </c>
      <c r="J4" s="20">
        <f>B12+I4+G17</f>
        <v>2745.32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45815</v>
      </c>
    </row>
    <row r="5">
      <c r="A5" s="94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1965</v>
      </c>
      <c r="D6" s="24">
        <f t="shared" ref="D6:D8" si="4">0+D27</f>
        <v>1965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500.35</v>
      </c>
      <c r="D7" s="24">
        <f t="shared" si="4"/>
        <v>500.35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500</v>
      </c>
      <c r="D8" s="24">
        <f t="shared" si="4"/>
        <v>500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336.46</v>
      </c>
      <c r="D10" s="24"/>
      <c r="E10" s="25"/>
      <c r="F10" s="10"/>
      <c r="H10" s="17" t="s">
        <v>25</v>
      </c>
      <c r="I10" s="2">
        <f>H11-C2</f>
        <v>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There is a CM Approaching</v>
      </c>
      <c r="D11" s="2" t="s">
        <v>28</v>
      </c>
      <c r="E11" s="7">
        <f>F6+F7+F8+F9</f>
        <v>0</v>
      </c>
      <c r="H11" s="31">
        <v>45798.0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-569.07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569.07</v>
      </c>
      <c r="C13" s="35">
        <v>0.0</v>
      </c>
      <c r="D13" s="24">
        <f t="shared" ref="D13:D14" si="6">B13-C13</f>
        <v>569.07</v>
      </c>
      <c r="E13" s="36">
        <f t="shared" ref="E13:E14" si="7">I13</f>
        <v>0</v>
      </c>
      <c r="F13" s="24">
        <f t="shared" ref="F13:F14" si="8">B13-E13</f>
        <v>569.07</v>
      </c>
      <c r="G13" s="37">
        <f>H13-C2</f>
        <v>22</v>
      </c>
      <c r="H13" s="38">
        <v>45815.0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 t="str">
        <f>H14-C2</f>
        <v>#VALUE!</v>
      </c>
      <c r="H14" s="38" t="s">
        <v>110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569.07</v>
      </c>
      <c r="C15" s="35">
        <f t="shared" si="11"/>
        <v>0</v>
      </c>
      <c r="D15" s="24">
        <f t="shared" si="11"/>
        <v>569.07</v>
      </c>
      <c r="E15" s="36">
        <f t="shared" si="11"/>
        <v>0</v>
      </c>
      <c r="F15" s="40">
        <f t="shared" si="11"/>
        <v>569.07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3220.38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3220.38</v>
      </c>
      <c r="C18" s="16" t="str">
        <f>IF(B28&gt;B17,"Increase","Decrease")</f>
        <v>Increase</v>
      </c>
      <c r="D18" s="50">
        <f>B28-B17</f>
        <v>8.51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3220.38</v>
      </c>
      <c r="D19" s="11"/>
      <c r="E19" s="2" t="s">
        <v>50</v>
      </c>
      <c r="F19" s="51">
        <f>H11</f>
        <v>45798</v>
      </c>
      <c r="G19" s="11"/>
      <c r="H19" s="16" t="s">
        <v>51</v>
      </c>
      <c r="J19" s="16" t="s">
        <v>52</v>
      </c>
      <c r="K19" s="16" t="s">
        <v>53</v>
      </c>
      <c r="L19" s="52">
        <f>H13</f>
        <v>45815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3222.22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3222.22</v>
      </c>
      <c r="D21" s="11"/>
      <c r="E21" s="1"/>
      <c r="F21" s="89">
        <f>H13</f>
        <v>45815</v>
      </c>
      <c r="G21" s="58">
        <f>F21-E23</f>
        <v>22</v>
      </c>
      <c r="H21" s="59" t="s">
        <v>58</v>
      </c>
      <c r="I21" s="60" t="s">
        <v>59</v>
      </c>
      <c r="J21" s="39">
        <f t="shared" ref="J21:J22" si="13">D25</f>
        <v>1043.4</v>
      </c>
      <c r="K21" s="58" t="str">
        <f t="shared" ref="K21:K23" si="14">IF(J21 =L21, "Paid", "Owed")</f>
        <v>Paid</v>
      </c>
      <c r="L21" s="39">
        <f t="shared" ref="L21:L22" si="15">D25</f>
        <v>1043.4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3222.22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3"/>
        <v>585.72</v>
      </c>
      <c r="K22" s="53" t="str">
        <f t="shared" si="14"/>
        <v>Paid</v>
      </c>
      <c r="L22" s="39">
        <f t="shared" si="15"/>
        <v>585.72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3222.22</v>
      </c>
      <c r="D23" s="11"/>
      <c r="E23" s="38">
        <f>C2</f>
        <v>45793</v>
      </c>
      <c r="F23" s="90" t="s">
        <v>113</v>
      </c>
      <c r="G23" s="58" t="str">
        <f>IMSUB(F23,E23)</f>
        <v>#NUM!</v>
      </c>
      <c r="H23" s="59" t="s">
        <v>61</v>
      </c>
      <c r="I23" s="39" t="s">
        <v>114</v>
      </c>
      <c r="J23" s="20">
        <f>SUM(J20:J22)</f>
        <v>1629.12</v>
      </c>
      <c r="K23" s="58" t="str">
        <f t="shared" si="14"/>
        <v>Paid</v>
      </c>
      <c r="L23" s="39">
        <f>SUM(L20:L22)</f>
        <v>1629.12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3222.22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3222.22</v>
      </c>
      <c r="C25" s="4" t="str">
        <f t="shared" ref="C25:C26" si="16">I21</f>
        <v>Mortgage</v>
      </c>
      <c r="D25" s="63">
        <v>1043.4</v>
      </c>
      <c r="E25" s="5">
        <f t="shared" ref="E25:E29" si="17">C$2</f>
        <v>45793</v>
      </c>
      <c r="G25" s="14" t="s">
        <v>65</v>
      </c>
      <c r="H25" s="68">
        <f>F2</f>
        <v>1012.93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3227.22</v>
      </c>
      <c r="C26" s="4" t="str">
        <f t="shared" si="16"/>
        <v>HOA</v>
      </c>
      <c r="D26" s="63">
        <v>585.72</v>
      </c>
      <c r="E26" s="5">
        <f t="shared" si="17"/>
        <v>45793</v>
      </c>
      <c r="H26" s="72">
        <f>G2</f>
        <v>336.46</v>
      </c>
      <c r="I26" s="73">
        <f>G17+C3+F2-I15-M50+E11</f>
        <v>1349.39</v>
      </c>
      <c r="J26" s="73">
        <f>G17+C3+C8+F2-M50</f>
        <v>1849.39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3228.89</v>
      </c>
      <c r="C27" s="4" t="str">
        <f t="shared" ref="C27:C29" si="18">B6</f>
        <v>Vacation Savings</v>
      </c>
      <c r="D27" s="63">
        <v>1965.0</v>
      </c>
      <c r="E27" s="5">
        <f t="shared" si="17"/>
        <v>45793</v>
      </c>
      <c r="G27" s="16" t="s">
        <v>70</v>
      </c>
      <c r="H27" s="76">
        <f>SUM(H25:H26)</f>
        <v>1349.39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3228.89</v>
      </c>
      <c r="C28" s="4" t="str">
        <f t="shared" si="18"/>
        <v>Emergency Savings</v>
      </c>
      <c r="D28" s="24">
        <v>500.35</v>
      </c>
      <c r="E28" s="5">
        <f t="shared" si="17"/>
        <v>45793</v>
      </c>
      <c r="G28" s="11" t="s">
        <v>72</v>
      </c>
      <c r="H28" s="77">
        <f>H27-D30</f>
        <v>-3245.08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500.0</v>
      </c>
      <c r="E29" s="5">
        <f t="shared" si="17"/>
        <v>45793</v>
      </c>
      <c r="G29" s="2" t="s">
        <v>73</v>
      </c>
      <c r="H29" s="78">
        <f>H27+G17</f>
        <v>1349.39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4594.47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1349.39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45793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1349.39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45794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45796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45797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45798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45799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45800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45801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45802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45803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45804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45805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45806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45807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 t="str">
        <f>(N34-M50)/Q50</f>
        <v>#DIV/0!</v>
      </c>
      <c r="P50" s="88">
        <f>100% -N50</f>
        <v>0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5" t="s">
        <v>90</v>
      </c>
      <c r="C2" s="5">
        <v>45805.0</v>
      </c>
      <c r="D2" s="6">
        <v>0.4166666666666667</v>
      </c>
      <c r="E2" s="7">
        <v>0.0</v>
      </c>
      <c r="F2" s="8">
        <v>0.0</v>
      </c>
      <c r="G2" s="9">
        <f>D3</f>
        <v>0</v>
      </c>
      <c r="H2" s="10">
        <v>0.0</v>
      </c>
      <c r="I2" s="10">
        <f>E2+G2</f>
        <v>0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500</v>
      </c>
      <c r="G3" s="10">
        <f>E2</f>
        <v>0</v>
      </c>
      <c r="I3" s="10">
        <f>F2+C9</f>
        <v>0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0</v>
      </c>
      <c r="D4" s="24">
        <v>0.0</v>
      </c>
      <c r="E4" s="17" t="s">
        <v>15</v>
      </c>
      <c r="F4" s="18">
        <f>F3+F2</f>
        <v>500</v>
      </c>
      <c r="G4" s="18">
        <f>G2+G3</f>
        <v>0</v>
      </c>
      <c r="I4" s="19">
        <f>SUM(I2:I3)</f>
        <v>0</v>
      </c>
      <c r="J4" s="20">
        <f>B12+I4+G17</f>
        <v>0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45815</v>
      </c>
    </row>
    <row r="5">
      <c r="A5" s="94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0</v>
      </c>
      <c r="D6" s="24">
        <f t="shared" ref="D6:D8" si="4">0+D27</f>
        <v>0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0</v>
      </c>
      <c r="D7" s="24">
        <f t="shared" si="4"/>
        <v>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0</v>
      </c>
      <c r="D8" s="24">
        <f t="shared" si="4"/>
        <v>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All Clear</v>
      </c>
      <c r="D11" s="2" t="s">
        <v>28</v>
      </c>
      <c r="E11" s="7">
        <f>F6+F7+F8+F9</f>
        <v>0</v>
      </c>
      <c r="H11" s="31">
        <v>45814.0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>
        <f>H13-C2</f>
        <v>10</v>
      </c>
      <c r="H13" s="38">
        <v>45815.0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 t="str">
        <f>H14-C2</f>
        <v>#VALUE!</v>
      </c>
      <c r="H14" s="38" t="s">
        <v>110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0</v>
      </c>
      <c r="C15" s="35">
        <f t="shared" si="11"/>
        <v>0</v>
      </c>
      <c r="D15" s="24">
        <f t="shared" si="11"/>
        <v>0</v>
      </c>
      <c r="E15" s="36">
        <f t="shared" si="11"/>
        <v>0</v>
      </c>
      <c r="F15" s="40">
        <f t="shared" si="11"/>
        <v>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0.0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0.0</v>
      </c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0.0</v>
      </c>
      <c r="D19" s="11"/>
      <c r="E19" s="2" t="s">
        <v>50</v>
      </c>
      <c r="F19" s="51">
        <f>H11</f>
        <v>45814</v>
      </c>
      <c r="G19" s="11"/>
      <c r="H19" s="16" t="s">
        <v>51</v>
      </c>
      <c r="J19" s="16" t="s">
        <v>52</v>
      </c>
      <c r="K19" s="16" t="s">
        <v>53</v>
      </c>
      <c r="L19" s="52">
        <f>H13</f>
        <v>45815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0.0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0.0</v>
      </c>
      <c r="D21" s="11"/>
      <c r="E21" s="1"/>
      <c r="F21" s="89">
        <f>H13</f>
        <v>45815</v>
      </c>
      <c r="G21" s="58">
        <f>F21-E23</f>
        <v>10</v>
      </c>
      <c r="H21" s="59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"Owed")</f>
        <v>Paid</v>
      </c>
      <c r="L21" s="39">
        <f t="shared" ref="L21:L22" si="15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0.0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3"/>
        <v>0</v>
      </c>
      <c r="K22" s="53" t="str">
        <f t="shared" si="14"/>
        <v>Paid</v>
      </c>
      <c r="L22" s="39">
        <f t="shared" si="15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0.0</v>
      </c>
      <c r="D23" s="11"/>
      <c r="E23" s="38">
        <f>C2</f>
        <v>45805</v>
      </c>
      <c r="F23" s="90" t="s">
        <v>113</v>
      </c>
      <c r="G23" s="58" t="str">
        <f>IMSUB(F23,E23)</f>
        <v>#NUM!</v>
      </c>
      <c r="H23" s="59" t="s">
        <v>61</v>
      </c>
      <c r="I23" s="39" t="s">
        <v>114</v>
      </c>
      <c r="J23" s="20">
        <f>SUM(J20:J22)</f>
        <v>0</v>
      </c>
      <c r="K23" s="58" t="str">
        <f t="shared" si="14"/>
        <v>Paid</v>
      </c>
      <c r="L23" s="39">
        <f>SUM(L20:L22)</f>
        <v>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0.0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0.0</v>
      </c>
      <c r="C25" s="4" t="str">
        <f t="shared" ref="C25:C26" si="16">I21</f>
        <v>Mortgage</v>
      </c>
      <c r="D25" s="63">
        <v>0.0</v>
      </c>
      <c r="E25" s="5">
        <f t="shared" ref="E25:E29" si="17">C$2</f>
        <v>45805</v>
      </c>
      <c r="G25" s="14" t="s">
        <v>65</v>
      </c>
      <c r="H25" s="68">
        <f>F2</f>
        <v>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0.0</v>
      </c>
      <c r="C26" s="4" t="str">
        <f t="shared" si="16"/>
        <v>HOA</v>
      </c>
      <c r="D26" s="63">
        <v>0.0</v>
      </c>
      <c r="E26" s="5">
        <f t="shared" si="17"/>
        <v>45805</v>
      </c>
      <c r="H26" s="72">
        <f>G2</f>
        <v>0</v>
      </c>
      <c r="I26" s="73">
        <f>G17+C3+F2-I15-M50+E11</f>
        <v>0</v>
      </c>
      <c r="J26" s="73">
        <f>G17+C3+C8+F2-M50</f>
        <v>0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0.0</v>
      </c>
      <c r="C27" s="4" t="str">
        <f t="shared" ref="C27:C29" si="18">B6</f>
        <v>Vacation Savings</v>
      </c>
      <c r="D27" s="63">
        <v>0.0</v>
      </c>
      <c r="E27" s="5">
        <f t="shared" si="17"/>
        <v>45805</v>
      </c>
      <c r="G27" s="16" t="s">
        <v>70</v>
      </c>
      <c r="H27" s="76">
        <f>SUM(H25:H26)</f>
        <v>0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0.0</v>
      </c>
      <c r="C28" s="4" t="str">
        <f t="shared" si="18"/>
        <v>Emergency Savings</v>
      </c>
      <c r="D28" s="24">
        <v>0.0</v>
      </c>
      <c r="E28" s="5">
        <f t="shared" si="17"/>
        <v>45805</v>
      </c>
      <c r="G28" s="11" t="s">
        <v>72</v>
      </c>
      <c r="H28" s="77">
        <f>H27-D30</f>
        <v>0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0.0</v>
      </c>
      <c r="E29" s="5">
        <f t="shared" si="17"/>
        <v>45805</v>
      </c>
      <c r="G29" s="2" t="s">
        <v>73</v>
      </c>
      <c r="H29" s="78">
        <f>H27+G17</f>
        <v>0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0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0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45805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0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45806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45808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45809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45810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45811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45812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45813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45814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45815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45816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45817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45818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45819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 t="str">
        <f>I26/H27</f>
        <v>#DIV/0!</v>
      </c>
      <c r="O50" s="37" t="str">
        <f>(N34-M50)/Q50</f>
        <v>#DIV/0!</v>
      </c>
      <c r="P50" s="88" t="str">
        <f>100% -N50</f>
        <v>#DIV/0!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5" t="s">
        <v>90</v>
      </c>
      <c r="C2" s="5">
        <v>45814.0</v>
      </c>
      <c r="D2" s="6" t="s">
        <v>103</v>
      </c>
      <c r="E2" s="7">
        <v>0.0</v>
      </c>
      <c r="F2" s="8">
        <v>618.76</v>
      </c>
      <c r="G2" s="9">
        <f>D3</f>
        <v>4281.87</v>
      </c>
      <c r="H2" s="10">
        <v>0.0</v>
      </c>
      <c r="I2" s="10">
        <f>E2+G2</f>
        <v>4281.87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4232.41</v>
      </c>
      <c r="D3" s="13">
        <v>4281.87</v>
      </c>
      <c r="E3" s="3"/>
      <c r="F3" s="10">
        <f>-F2+500</f>
        <v>-118.76</v>
      </c>
      <c r="G3" s="10">
        <f>E2</f>
        <v>0</v>
      </c>
      <c r="I3" s="10">
        <f>F2+C9</f>
        <v>618.76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1629.02</v>
      </c>
      <c r="D4" s="24">
        <v>0.0</v>
      </c>
      <c r="E4" s="17" t="s">
        <v>15</v>
      </c>
      <c r="F4" s="18">
        <f>F3+F2</f>
        <v>500</v>
      </c>
      <c r="G4" s="18">
        <f>G2+G3</f>
        <v>4281.87</v>
      </c>
      <c r="I4" s="19">
        <f>SUM(I2:I3)</f>
        <v>4900.63</v>
      </c>
      <c r="J4" s="20">
        <f>B12+I4+G17</f>
        <v>2275.02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45815</v>
      </c>
    </row>
    <row r="5">
      <c r="A5" s="94"/>
      <c r="B5" s="2" t="s">
        <v>18</v>
      </c>
      <c r="C5" s="10">
        <f>SUM(D5:E5)-E11</f>
        <v>121.52</v>
      </c>
      <c r="D5" s="24">
        <v>121.52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1403</v>
      </c>
      <c r="D6" s="24">
        <f t="shared" ref="D6:D8" si="4">0+D27</f>
        <v>1403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34</v>
      </c>
      <c r="D7" s="24">
        <f t="shared" si="4"/>
        <v>34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145.13</v>
      </c>
      <c r="D8" s="24">
        <f t="shared" si="4"/>
        <v>145.13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4232.41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There is a CM Approaching</v>
      </c>
      <c r="D11" s="2" t="s">
        <v>28</v>
      </c>
      <c r="E11" s="7">
        <f>F6+F7+F8+F9</f>
        <v>0</v>
      </c>
      <c r="H11" s="31">
        <v>45814.0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-2625.61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2513.77</v>
      </c>
      <c r="C13" s="35">
        <v>2513.77</v>
      </c>
      <c r="D13" s="24">
        <f t="shared" ref="D13:D14" si="6">B13-C13</f>
        <v>0</v>
      </c>
      <c r="E13" s="36">
        <f t="shared" ref="E13:E14" si="7">I13</f>
        <v>2464.31</v>
      </c>
      <c r="F13" s="24">
        <f t="shared" ref="F13:F14" si="8">B13-E13</f>
        <v>49.46</v>
      </c>
      <c r="G13" s="37">
        <f>H13-C2</f>
        <v>1</v>
      </c>
      <c r="H13" s="38">
        <v>45815.0</v>
      </c>
      <c r="I13" s="24">
        <v>2464.31</v>
      </c>
      <c r="J13" s="25">
        <f t="shared" ref="J13:J14" si="9">L13</f>
        <v>2513.77</v>
      </c>
      <c r="K13" s="11" t="s">
        <v>41</v>
      </c>
      <c r="L13" s="24">
        <f t="shared" ref="L13:L14" si="10">C13</f>
        <v>2513.77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111.84</v>
      </c>
      <c r="C14" s="35">
        <v>111.84</v>
      </c>
      <c r="D14" s="24">
        <f t="shared" si="6"/>
        <v>0</v>
      </c>
      <c r="E14" s="36">
        <f t="shared" si="7"/>
        <v>111.84</v>
      </c>
      <c r="F14" s="24">
        <f t="shared" si="8"/>
        <v>0</v>
      </c>
      <c r="G14" s="37">
        <f>H14-C2</f>
        <v>21</v>
      </c>
      <c r="H14" s="38">
        <v>45835.0</v>
      </c>
      <c r="I14" s="24">
        <v>111.84</v>
      </c>
      <c r="J14" s="25">
        <f t="shared" si="9"/>
        <v>111.84</v>
      </c>
      <c r="K14" s="11" t="s">
        <v>41</v>
      </c>
      <c r="L14" s="24">
        <f t="shared" si="10"/>
        <v>111.84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2625.61</v>
      </c>
      <c r="C15" s="35">
        <f t="shared" si="11"/>
        <v>2625.61</v>
      </c>
      <c r="D15" s="24">
        <f t="shared" si="11"/>
        <v>0</v>
      </c>
      <c r="E15" s="36">
        <f t="shared" si="11"/>
        <v>2576.15</v>
      </c>
      <c r="F15" s="40">
        <f t="shared" si="11"/>
        <v>49.46</v>
      </c>
      <c r="G15" s="37"/>
      <c r="H15" s="11" t="s">
        <v>44</v>
      </c>
      <c r="I15" s="41">
        <f t="shared" ref="I15:J15" si="12">SUM(I13:I14)</f>
        <v>2576.15</v>
      </c>
      <c r="J15" s="25">
        <f t="shared" si="12"/>
        <v>2625.61</v>
      </c>
      <c r="K15" s="11" t="s">
        <v>41</v>
      </c>
      <c r="L15" s="24">
        <f>SUM(L13:L14)</f>
        <v>2625.61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3311.48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3310.81</v>
      </c>
      <c r="C18" s="16" t="str">
        <f>IF(B28&gt;B17,"Increase","Decrease")</f>
        <v>Increase</v>
      </c>
      <c r="D18" s="50">
        <f>B28-B17</f>
        <v>5.02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3310.81</v>
      </c>
      <c r="D19" s="11"/>
      <c r="E19" s="2" t="s">
        <v>50</v>
      </c>
      <c r="F19" s="51">
        <f>H11</f>
        <v>45814</v>
      </c>
      <c r="G19" s="11"/>
      <c r="H19" s="16" t="s">
        <v>51</v>
      </c>
      <c r="J19" s="16" t="s">
        <v>52</v>
      </c>
      <c r="K19" s="16" t="s">
        <v>53</v>
      </c>
      <c r="L19" s="52">
        <f>H13</f>
        <v>45815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3310.81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2576.15</v>
      </c>
      <c r="K20" s="53" t="str">
        <f>IF(J20 &gt;=L20, "Paid", "Due")</f>
        <v>Due</v>
      </c>
      <c r="L20" s="39">
        <f>L15</f>
        <v>2625.61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3310.81</v>
      </c>
      <c r="D21" s="11"/>
      <c r="E21" s="1"/>
      <c r="F21" s="89">
        <f>H13</f>
        <v>45815</v>
      </c>
      <c r="G21" s="58">
        <f>F21-E23</f>
        <v>1</v>
      </c>
      <c r="H21" s="59" t="s">
        <v>58</v>
      </c>
      <c r="I21" s="60" t="s">
        <v>59</v>
      </c>
      <c r="J21" s="39">
        <f t="shared" ref="J21:J22" si="13">D25</f>
        <v>1043.3</v>
      </c>
      <c r="K21" s="58" t="str">
        <f t="shared" ref="K21:K23" si="14">IF(J21 =L21, "Paid", "Due")</f>
        <v>Paid</v>
      </c>
      <c r="L21" s="39">
        <f t="shared" ref="L21:L22" si="15">D25</f>
        <v>1043.3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3316.64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3"/>
        <v>585.72</v>
      </c>
      <c r="K22" s="53" t="str">
        <f t="shared" si="14"/>
        <v>Paid</v>
      </c>
      <c r="L22" s="39">
        <f t="shared" si="15"/>
        <v>585.72</v>
      </c>
      <c r="M22" s="21" t="str">
        <f t="shared" si="1"/>
        <v>&lt;---------------------&gt;</v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3316.64</v>
      </c>
      <c r="D23" s="11"/>
      <c r="E23" s="38">
        <f>C2</f>
        <v>45814</v>
      </c>
      <c r="F23" s="90" t="s">
        <v>113</v>
      </c>
      <c r="G23" s="58" t="str">
        <f>IMSUB(F23,E23)</f>
        <v>#NUM!</v>
      </c>
      <c r="H23" s="59" t="s">
        <v>61</v>
      </c>
      <c r="I23" s="39" t="s">
        <v>114</v>
      </c>
      <c r="J23" s="20">
        <f>SUM(J20:J22)</f>
        <v>4205.17</v>
      </c>
      <c r="K23" s="58" t="str">
        <f t="shared" si="14"/>
        <v>Due</v>
      </c>
      <c r="L23" s="39">
        <f>SUM(L20:L22)</f>
        <v>4254.63</v>
      </c>
      <c r="M23" s="21" t="str">
        <f t="shared" si="1"/>
        <v>&lt;---------------------&gt;</v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3316.64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>&lt;---------------------&gt;</v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3316.64</v>
      </c>
      <c r="C25" s="4" t="str">
        <f t="shared" ref="C25:C26" si="16">I21</f>
        <v>Mortgage</v>
      </c>
      <c r="D25" s="63">
        <v>1043.3</v>
      </c>
      <c r="E25" s="5">
        <f t="shared" ref="E25:E29" si="17">C$2</f>
        <v>45814</v>
      </c>
      <c r="G25" s="14" t="s">
        <v>65</v>
      </c>
      <c r="H25" s="68">
        <f>F2</f>
        <v>618.76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>&lt;---------------------&gt;</v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3316.64</v>
      </c>
      <c r="C26" s="4" t="str">
        <f t="shared" si="16"/>
        <v>HOA</v>
      </c>
      <c r="D26" s="63">
        <v>585.72</v>
      </c>
      <c r="E26" s="5">
        <f t="shared" si="17"/>
        <v>45814</v>
      </c>
      <c r="H26" s="72">
        <f>G2</f>
        <v>4281.87</v>
      </c>
      <c r="I26" s="73">
        <f>G17+C3+F2-I15-M50+E11</f>
        <v>2275.02</v>
      </c>
      <c r="J26" s="73">
        <f>G17+C3+C8+F2-M50</f>
        <v>4996.3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>&lt;---------------------&gt;</v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3316.5</v>
      </c>
      <c r="C27" s="4" t="str">
        <f t="shared" ref="C27:C29" si="18">B6</f>
        <v>Vacation Savings</v>
      </c>
      <c r="D27" s="63">
        <v>1403.0</v>
      </c>
      <c r="E27" s="5">
        <f t="shared" si="17"/>
        <v>45814</v>
      </c>
      <c r="G27" s="16" t="s">
        <v>70</v>
      </c>
      <c r="H27" s="76">
        <f>SUM(H25:H26)</f>
        <v>4900.63</v>
      </c>
      <c r="I27" s="37"/>
      <c r="J27" s="73"/>
      <c r="K27" s="11"/>
      <c r="L27" s="11"/>
      <c r="M27" s="21" t="str">
        <f t="shared" si="1"/>
        <v>&lt;---------------------&gt;</v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3316.5</v>
      </c>
      <c r="C28" s="4" t="str">
        <f t="shared" si="18"/>
        <v>Emergency Savings</v>
      </c>
      <c r="D28" s="24">
        <v>34.0</v>
      </c>
      <c r="E28" s="5">
        <f t="shared" si="17"/>
        <v>45814</v>
      </c>
      <c r="G28" s="11" t="s">
        <v>72</v>
      </c>
      <c r="H28" s="77">
        <f>H27-D30</f>
        <v>1689.48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145.13</v>
      </c>
      <c r="E29" s="5">
        <f t="shared" si="17"/>
        <v>45814</v>
      </c>
      <c r="G29" s="2" t="s">
        <v>73</v>
      </c>
      <c r="H29" s="78">
        <f>H27+G17</f>
        <v>4900.63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3211.15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2275.02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45814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2275.02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45815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45817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45818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45819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45820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45821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45822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45823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45824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45825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45826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45827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45828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0.4642301092</v>
      </c>
      <c r="O50" s="37" t="str">
        <f>(N34-M50)/Q50</f>
        <v>#DIV/0!</v>
      </c>
      <c r="P50" s="88">
        <f>100% -N50</f>
        <v>0.5357698908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5" t="s">
        <v>8</v>
      </c>
      <c r="C2" s="5">
        <v>45832.0</v>
      </c>
      <c r="D2" s="6" t="s">
        <v>103</v>
      </c>
      <c r="E2" s="7">
        <v>0.0</v>
      </c>
      <c r="F2" s="8">
        <v>481.04</v>
      </c>
      <c r="G2" s="9">
        <f>D3</f>
        <v>533.53</v>
      </c>
      <c r="H2" s="10">
        <v>0.0</v>
      </c>
      <c r="I2" s="10">
        <f>E2+G2</f>
        <v>533.53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533.53</v>
      </c>
      <c r="D3" s="13">
        <v>533.53</v>
      </c>
      <c r="E3" s="3"/>
      <c r="F3" s="10">
        <f>-F2+500</f>
        <v>18.96</v>
      </c>
      <c r="G3" s="10">
        <f>E2</f>
        <v>0</v>
      </c>
      <c r="I3" s="10">
        <f>F2+C9</f>
        <v>481.04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4887.06</v>
      </c>
      <c r="D4" s="24"/>
      <c r="E4" s="17" t="s">
        <v>15</v>
      </c>
      <c r="F4" s="18">
        <f>F3+F2</f>
        <v>500</v>
      </c>
      <c r="G4" s="18">
        <f>G2+G3</f>
        <v>533.53</v>
      </c>
      <c r="I4" s="19">
        <f>SUM(I2:I3)</f>
        <v>1014.57</v>
      </c>
      <c r="J4" s="20">
        <f>B12+I4+G17</f>
        <v>183.79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45845</v>
      </c>
    </row>
    <row r="5">
      <c r="A5" s="94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1233.79</v>
      </c>
      <c r="D6" s="24">
        <f t="shared" ref="D6:D8" si="4">0+D27</f>
        <v>1233.79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1700</v>
      </c>
      <c r="D7" s="24">
        <f t="shared" si="4"/>
        <v>1700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1000</v>
      </c>
      <c r="D8" s="24">
        <f t="shared" si="4"/>
        <v>1000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64.5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533.53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There is a CM Approaching</v>
      </c>
      <c r="D11" s="2" t="s">
        <v>28</v>
      </c>
      <c r="E11" s="7">
        <f>F6+F7+F8+F9</f>
        <v>0</v>
      </c>
      <c r="H11" s="31">
        <v>45841.0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-830.78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830.78</v>
      </c>
      <c r="C13" s="35">
        <v>0.0</v>
      </c>
      <c r="D13" s="24">
        <f t="shared" ref="D13:D14" si="6">B13-C13</f>
        <v>830.78</v>
      </c>
      <c r="E13" s="36">
        <f t="shared" ref="E13:E14" si="7">I13</f>
        <v>0</v>
      </c>
      <c r="F13" s="24">
        <f t="shared" ref="F13:F14" si="8">B13-E13</f>
        <v>830.78</v>
      </c>
      <c r="G13" s="37">
        <f>H13-C2</f>
        <v>13</v>
      </c>
      <c r="H13" s="38">
        <v>45845.0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 t="str">
        <f>H14-C2</f>
        <v>#VALUE!</v>
      </c>
      <c r="H14" s="38" t="s">
        <v>110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830.78</v>
      </c>
      <c r="C15" s="35">
        <f t="shared" si="11"/>
        <v>0</v>
      </c>
      <c r="D15" s="24">
        <f t="shared" si="11"/>
        <v>830.78</v>
      </c>
      <c r="E15" s="36">
        <f t="shared" si="11"/>
        <v>0</v>
      </c>
      <c r="F15" s="40">
        <f t="shared" si="11"/>
        <v>830.78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3311.28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3311.28</v>
      </c>
      <c r="C18" s="16" t="str">
        <f>IF(B28&gt;B17,"Increase","Decrease")</f>
        <v>Increase</v>
      </c>
      <c r="D18" s="50">
        <f>B28-B17</f>
        <v>3.01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3311.28</v>
      </c>
      <c r="D19" s="11"/>
      <c r="E19" s="2" t="s">
        <v>50</v>
      </c>
      <c r="F19" s="51">
        <f>H11</f>
        <v>45841</v>
      </c>
      <c r="G19" s="11"/>
      <c r="H19" s="16" t="s">
        <v>51</v>
      </c>
      <c r="J19" s="16" t="s">
        <v>52</v>
      </c>
      <c r="K19" s="16" t="s">
        <v>53</v>
      </c>
      <c r="L19" s="52">
        <f>H13</f>
        <v>45845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3311.28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"Due")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3314.29</v>
      </c>
      <c r="D21" s="11"/>
      <c r="E21" s="1"/>
      <c r="F21" s="89">
        <f>H13</f>
        <v>45845</v>
      </c>
      <c r="G21" s="58">
        <f>F21-E23</f>
        <v>13</v>
      </c>
      <c r="H21" s="59" t="s">
        <v>58</v>
      </c>
      <c r="I21" s="60" t="s">
        <v>59</v>
      </c>
      <c r="J21" s="39">
        <f t="shared" ref="J21:J22" si="13">D25</f>
        <v>4887.06</v>
      </c>
      <c r="K21" s="58" t="str">
        <f t="shared" ref="K21:K23" si="14">IF(J21 =L21, "Paid", "Due")</f>
        <v>Paid</v>
      </c>
      <c r="L21" s="39">
        <f t="shared" ref="L21:L22" si="15">D25</f>
        <v>4887.06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3314.29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3"/>
        <v>0</v>
      </c>
      <c r="K22" s="53" t="str">
        <f t="shared" si="14"/>
        <v>Paid</v>
      </c>
      <c r="L22" s="39">
        <f t="shared" si="15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3314.29</v>
      </c>
      <c r="D23" s="11"/>
      <c r="E23" s="38">
        <f>C2</f>
        <v>45832</v>
      </c>
      <c r="F23" s="90" t="s">
        <v>113</v>
      </c>
      <c r="G23" s="58" t="str">
        <f>IMSUB(F23,E23)</f>
        <v>#NUM!</v>
      </c>
      <c r="H23" s="59" t="s">
        <v>61</v>
      </c>
      <c r="I23" s="39" t="s">
        <v>114</v>
      </c>
      <c r="J23" s="20">
        <f>SUM(J20:J22)</f>
        <v>4887.06</v>
      </c>
      <c r="K23" s="58" t="str">
        <f t="shared" si="14"/>
        <v>Paid</v>
      </c>
      <c r="L23" s="39">
        <f>SUM(L20:L22)</f>
        <v>4887.06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3314.29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3314.29</v>
      </c>
      <c r="C25" s="4" t="str">
        <f t="shared" ref="C25:C26" si="16">I21</f>
        <v>Mortgage</v>
      </c>
      <c r="D25" s="63">
        <v>4887.06</v>
      </c>
      <c r="E25" s="5">
        <f t="shared" ref="E25:E29" si="17">C$2</f>
        <v>45832</v>
      </c>
      <c r="G25" s="14" t="s">
        <v>65</v>
      </c>
      <c r="H25" s="68">
        <f>F2</f>
        <v>481.04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3314.29</v>
      </c>
      <c r="C26" s="4" t="str">
        <f t="shared" si="16"/>
        <v>HOA</v>
      </c>
      <c r="D26" s="63">
        <v>0.0</v>
      </c>
      <c r="E26" s="5">
        <f t="shared" si="17"/>
        <v>45832</v>
      </c>
      <c r="H26" s="72">
        <f>G2</f>
        <v>533.53</v>
      </c>
      <c r="I26" s="73">
        <f>G17+C3+F2-I15-M50+E11</f>
        <v>1014.57</v>
      </c>
      <c r="J26" s="73">
        <f>G17+C3+C8+F2-M50</f>
        <v>2014.57</v>
      </c>
      <c r="K26" s="74">
        <v>5000.0</v>
      </c>
      <c r="L26" s="75" t="str">
        <f>IF(I26 &lt;= 0, "Freeze Credit Spending","Stable Account")</f>
        <v>Stable Account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3314.29</v>
      </c>
      <c r="C27" s="4" t="str">
        <f t="shared" ref="C27:C29" si="18">B6</f>
        <v>Vacation Savings</v>
      </c>
      <c r="D27" s="63">
        <v>1233.79</v>
      </c>
      <c r="E27" s="5">
        <f t="shared" si="17"/>
        <v>45832</v>
      </c>
      <c r="G27" s="16" t="s">
        <v>70</v>
      </c>
      <c r="H27" s="76">
        <f>SUM(H25:H26)</f>
        <v>1014.57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3314.29</v>
      </c>
      <c r="C28" s="4" t="str">
        <f t="shared" si="18"/>
        <v>Emergency Savings</v>
      </c>
      <c r="D28" s="24">
        <v>1700.0</v>
      </c>
      <c r="E28" s="5">
        <f t="shared" si="17"/>
        <v>45832</v>
      </c>
      <c r="G28" s="11" t="s">
        <v>72</v>
      </c>
      <c r="H28" s="77">
        <f>H27-D30</f>
        <v>-7806.28</v>
      </c>
      <c r="I28" s="37"/>
      <c r="J28" s="14"/>
      <c r="K28" s="11"/>
      <c r="L28" s="11"/>
      <c r="M28" s="21" t="str">
        <f t="shared" si="1"/>
        <v>&lt;---------------------&gt;</v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1000.0</v>
      </c>
      <c r="E29" s="5">
        <f t="shared" si="17"/>
        <v>45832</v>
      </c>
      <c r="G29" s="2" t="s">
        <v>73</v>
      </c>
      <c r="H29" s="78">
        <f>H27+G17</f>
        <v>1014.57</v>
      </c>
      <c r="I29" s="11"/>
      <c r="J29" s="14"/>
      <c r="K29" s="11"/>
      <c r="L29" s="11"/>
      <c r="M29" s="21" t="str">
        <f t="shared" si="1"/>
        <v>&lt;---------------------&gt;</v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8820.85</v>
      </c>
      <c r="H30" s="11"/>
      <c r="I30" s="11"/>
      <c r="J30" s="14"/>
      <c r="K30" s="11"/>
      <c r="L30" s="11"/>
      <c r="M30" s="21" t="str">
        <f t="shared" si="1"/>
        <v>&lt;---------------------&gt;</v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1014.57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45832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1014.57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45833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45835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45836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45837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45838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45839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45840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45841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45842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45843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45844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45845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45846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>
        <f>I26/H27</f>
        <v>1</v>
      </c>
      <c r="O50" s="37" t="str">
        <f>(N34-M50)/Q50</f>
        <v>#DIV/0!</v>
      </c>
      <c r="P50" s="88">
        <f>100% -N50</f>
        <v>0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29.14"/>
    <col customWidth="1" min="3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0.14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93"/>
      <c r="B1" s="2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94"/>
      <c r="B2" s="5"/>
      <c r="C2" s="5"/>
      <c r="D2" s="6">
        <v>0.0</v>
      </c>
      <c r="E2" s="7">
        <v>0.0</v>
      </c>
      <c r="F2" s="8">
        <v>0.0</v>
      </c>
      <c r="G2" s="9">
        <f>D3</f>
        <v>0</v>
      </c>
      <c r="H2" s="10">
        <v>0.0</v>
      </c>
      <c r="I2" s="10">
        <f>E2+G2</f>
        <v>0</v>
      </c>
      <c r="J2" s="7"/>
      <c r="K2" s="10"/>
      <c r="L2" s="10"/>
      <c r="M2" s="10"/>
      <c r="N2" s="10"/>
      <c r="O2" s="10"/>
      <c r="P2" s="10"/>
    </row>
    <row r="3">
      <c r="A3" s="94"/>
      <c r="B3" s="11" t="s">
        <v>10</v>
      </c>
      <c r="C3" s="12">
        <f>IF(J23&gt;L23,D3,D3-(L23-J23)+G17)</f>
        <v>0</v>
      </c>
      <c r="D3" s="13">
        <v>0.0</v>
      </c>
      <c r="E3" s="3"/>
      <c r="F3" s="10">
        <f>-F2+500</f>
        <v>500</v>
      </c>
      <c r="G3" s="10">
        <f>E2</f>
        <v>0</v>
      </c>
      <c r="I3" s="10">
        <f>F2+C9</f>
        <v>0</v>
      </c>
      <c r="J3" s="14" t="s">
        <v>11</v>
      </c>
      <c r="K3" s="15"/>
      <c r="Q3" s="4" t="s">
        <v>12</v>
      </c>
    </row>
    <row r="4">
      <c r="A4" s="94"/>
      <c r="B4" s="2" t="s">
        <v>13</v>
      </c>
      <c r="C4" s="10">
        <f>D25+D26</f>
        <v>0</v>
      </c>
      <c r="D4" s="24">
        <v>0.0</v>
      </c>
      <c r="E4" s="17" t="s">
        <v>15</v>
      </c>
      <c r="F4" s="18">
        <f>F3+F2</f>
        <v>500</v>
      </c>
      <c r="G4" s="18">
        <f>G2+G3</f>
        <v>0</v>
      </c>
      <c r="I4" s="19">
        <f>SUM(I2:I3)</f>
        <v>0</v>
      </c>
      <c r="J4" s="20">
        <f>B12+I4+G17</f>
        <v>0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H$13</f>
        <v>0</v>
      </c>
    </row>
    <row r="5">
      <c r="A5" s="94"/>
      <c r="B5" s="2" t="s">
        <v>18</v>
      </c>
      <c r="C5" s="10">
        <f>SUM(D5:E5)-E11</f>
        <v>0</v>
      </c>
      <c r="D5" s="24">
        <v>0.0</v>
      </c>
      <c r="E5" s="25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94"/>
      <c r="B6" s="2" t="s">
        <v>20</v>
      </c>
      <c r="C6" s="10">
        <f t="shared" ref="C6:C8" si="3">D27</f>
        <v>0</v>
      </c>
      <c r="D6" s="24">
        <f t="shared" ref="D6:D8" si="4">0+D27</f>
        <v>0</v>
      </c>
      <c r="E6" s="25">
        <f t="shared" ref="E6:E9" si="5">0-F6</f>
        <v>0</v>
      </c>
      <c r="F6" s="24"/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94"/>
      <c r="B7" s="2" t="s">
        <v>21</v>
      </c>
      <c r="C7" s="10">
        <f t="shared" si="3"/>
        <v>0</v>
      </c>
      <c r="D7" s="24">
        <f t="shared" si="4"/>
        <v>0</v>
      </c>
      <c r="E7" s="25">
        <f t="shared" si="5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94"/>
      <c r="B8" s="2" t="s">
        <v>22</v>
      </c>
      <c r="C8" s="10">
        <f t="shared" si="3"/>
        <v>0</v>
      </c>
      <c r="D8" s="24">
        <f t="shared" si="4"/>
        <v>0</v>
      </c>
      <c r="E8" s="25">
        <f t="shared" si="5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75.0" customHeight="1">
      <c r="A9" s="95"/>
      <c r="B9" s="28" t="s">
        <v>23</v>
      </c>
      <c r="C9" s="29">
        <f>SUM(D9:E9)</f>
        <v>0</v>
      </c>
      <c r="D9" s="24">
        <v>0.0</v>
      </c>
      <c r="E9" s="25">
        <f t="shared" si="5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5"/>
      <c r="F10" s="10"/>
      <c r="H10" s="17" t="s">
        <v>25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2" t="s">
        <v>108</v>
      </c>
      <c r="C11" s="30" t="str">
        <f>IF(B13&gt;0,"There is a CM Approaching","All Clear")</f>
        <v>All Clear</v>
      </c>
      <c r="D11" s="2" t="s">
        <v>28</v>
      </c>
      <c r="E11" s="7">
        <f>F6+F7+F8+F9</f>
        <v>0</v>
      </c>
      <c r="H11" s="31">
        <v>0.0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4" t="s">
        <v>32</v>
      </c>
      <c r="F12" s="14" t="s">
        <v>109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>
        <f>H13-C2</f>
        <v>0</v>
      </c>
      <c r="H13" s="38">
        <v>0.0</v>
      </c>
      <c r="I13" s="24">
        <v>0.0</v>
      </c>
      <c r="J13" s="25">
        <f t="shared" ref="J13:J14" si="9">L13</f>
        <v>0</v>
      </c>
      <c r="K13" s="11" t="s">
        <v>41</v>
      </c>
      <c r="L13" s="24">
        <f t="shared" ref="L13:L14" si="10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 t="str">
        <f>H14-C2</f>
        <v>#VALUE!</v>
      </c>
      <c r="H14" s="38" t="s">
        <v>110</v>
      </c>
      <c r="I14" s="24">
        <v>0.0</v>
      </c>
      <c r="J14" s="25">
        <f t="shared" si="9"/>
        <v>0</v>
      </c>
      <c r="K14" s="11" t="s">
        <v>41</v>
      </c>
      <c r="L14" s="24">
        <f t="shared" si="10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39">
        <f t="shared" ref="B15:F15" si="11">SUM(B13:B14)</f>
        <v>0</v>
      </c>
      <c r="C15" s="35">
        <f t="shared" si="11"/>
        <v>0</v>
      </c>
      <c r="D15" s="24">
        <f t="shared" si="11"/>
        <v>0</v>
      </c>
      <c r="E15" s="36">
        <f t="shared" si="11"/>
        <v>0</v>
      </c>
      <c r="F15" s="40">
        <f t="shared" si="11"/>
        <v>0</v>
      </c>
      <c r="G15" s="37"/>
      <c r="H15" s="11" t="s">
        <v>44</v>
      </c>
      <c r="I15" s="41">
        <f t="shared" ref="I15:J15" si="12">SUM(I13:I14)</f>
        <v>0</v>
      </c>
      <c r="J15" s="25">
        <f t="shared" si="12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24"/>
      <c r="C16" s="35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>
        <v>0.0</v>
      </c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>
        <v>0.0</v>
      </c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/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>
        <v>0.0</v>
      </c>
      <c r="D19" s="11"/>
      <c r="E19" s="2" t="s">
        <v>50</v>
      </c>
      <c r="F19" s="51">
        <f>H11</f>
        <v>0</v>
      </c>
      <c r="G19" s="11"/>
      <c r="H19" s="16" t="s">
        <v>51</v>
      </c>
      <c r="J19" s="16" t="s">
        <v>52</v>
      </c>
      <c r="K19" s="16" t="s">
        <v>53</v>
      </c>
      <c r="L19" s="52">
        <f>H13</f>
        <v>0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>
        <v>0.0</v>
      </c>
      <c r="D20" s="11"/>
      <c r="E20" s="1"/>
      <c r="F20" s="11" t="s">
        <v>111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"Due")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>
        <v>0.0</v>
      </c>
      <c r="D21" s="11"/>
      <c r="E21" s="1"/>
      <c r="F21" s="89">
        <f>H13</f>
        <v>0</v>
      </c>
      <c r="G21" s="58">
        <f>F21-E23</f>
        <v>0</v>
      </c>
      <c r="H21" s="59" t="s">
        <v>58</v>
      </c>
      <c r="I21" s="60" t="s">
        <v>59</v>
      </c>
      <c r="J21" s="39">
        <f t="shared" ref="J21:J22" si="13">D25</f>
        <v>0</v>
      </c>
      <c r="K21" s="58" t="str">
        <f t="shared" ref="K21:K23" si="14">IF(J21 =L21, "Paid", "Due")</f>
        <v>Paid</v>
      </c>
      <c r="L21" s="39">
        <f t="shared" ref="L21:L22" si="15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>
        <v>0.0</v>
      </c>
      <c r="D22" s="11"/>
      <c r="E22" s="1"/>
      <c r="F22" s="11" t="s">
        <v>112</v>
      </c>
      <c r="G22" s="53" t="s">
        <v>55</v>
      </c>
      <c r="H22" s="54" t="s">
        <v>56</v>
      </c>
      <c r="I22" s="55" t="s">
        <v>60</v>
      </c>
      <c r="J22" s="56">
        <f t="shared" si="13"/>
        <v>0</v>
      </c>
      <c r="K22" s="53" t="str">
        <f t="shared" si="14"/>
        <v>Paid</v>
      </c>
      <c r="L22" s="39">
        <f t="shared" si="15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>
        <v>0.0</v>
      </c>
      <c r="D23" s="11"/>
      <c r="E23" s="38" t="str">
        <f>C2</f>
        <v/>
      </c>
      <c r="F23" s="90" t="s">
        <v>113</v>
      </c>
      <c r="G23" s="58" t="str">
        <f>IMSUB(F23,E23)</f>
        <v>#NUM!</v>
      </c>
      <c r="H23" s="59" t="s">
        <v>61</v>
      </c>
      <c r="I23" s="39" t="s">
        <v>114</v>
      </c>
      <c r="J23" s="20">
        <f>SUM(J20:J22)</f>
        <v>0</v>
      </c>
      <c r="K23" s="58" t="str">
        <f t="shared" si="14"/>
        <v>Paid</v>
      </c>
      <c r="L23" s="39">
        <f>SUM(L20:L22)</f>
        <v>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>
        <v>0.0</v>
      </c>
      <c r="C24" s="16" t="s">
        <v>63</v>
      </c>
      <c r="D24" s="11"/>
      <c r="E24" s="63" t="s">
        <v>64</v>
      </c>
      <c r="G24" s="64"/>
      <c r="H24" s="64"/>
      <c r="I24" s="65"/>
      <c r="J24" s="66"/>
      <c r="K24" s="67"/>
      <c r="L24" s="64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36.75" customHeight="1">
      <c r="A25" s="2">
        <v>8.0</v>
      </c>
      <c r="B25" s="45">
        <v>0.0</v>
      </c>
      <c r="C25" s="4" t="str">
        <f t="shared" ref="C25:C26" si="16">I21</f>
        <v>Mortgage</v>
      </c>
      <c r="D25" s="63">
        <v>0.0</v>
      </c>
      <c r="E25" s="5" t="str">
        <f t="shared" ref="E25:E29" si="17">C$2</f>
        <v/>
      </c>
      <c r="G25" s="14" t="s">
        <v>65</v>
      </c>
      <c r="H25" s="68">
        <f>F2</f>
        <v>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>
        <v>0.0</v>
      </c>
      <c r="C26" s="4" t="str">
        <f t="shared" si="16"/>
        <v>HOA</v>
      </c>
      <c r="D26" s="63">
        <v>0.0</v>
      </c>
      <c r="E26" s="5" t="str">
        <f t="shared" si="17"/>
        <v/>
      </c>
      <c r="H26" s="72">
        <f>G2</f>
        <v>0</v>
      </c>
      <c r="I26" s="73">
        <f>G17+C3+F2-I15-M50+E11</f>
        <v>0</v>
      </c>
      <c r="J26" s="73">
        <f>G17+C3+C8+F2-M50</f>
        <v>0</v>
      </c>
      <c r="K26" s="74">
        <v>5000.0</v>
      </c>
      <c r="L26" s="75" t="str">
        <f>IF(I26 &lt;= 0, "Freeze Credit Spending","Stable Account")</f>
        <v>Freeze Credit Spending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>
        <v>0.0</v>
      </c>
      <c r="C27" s="4" t="str">
        <f t="shared" ref="C27:C29" si="18">B6</f>
        <v>Vacation Savings</v>
      </c>
      <c r="D27" s="63">
        <v>0.0</v>
      </c>
      <c r="E27" s="5" t="str">
        <f t="shared" si="17"/>
        <v/>
      </c>
      <c r="G27" s="16" t="s">
        <v>70</v>
      </c>
      <c r="H27" s="76">
        <f>SUM(H25:H26)</f>
        <v>0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>
        <v>0.0</v>
      </c>
      <c r="C28" s="4" t="str">
        <f t="shared" si="18"/>
        <v>Emergency Savings</v>
      </c>
      <c r="D28" s="24">
        <v>0.0</v>
      </c>
      <c r="E28" s="5" t="str">
        <f t="shared" si="17"/>
        <v/>
      </c>
      <c r="G28" s="11" t="s">
        <v>72</v>
      </c>
      <c r="H28" s="77">
        <f>H27-D30</f>
        <v>0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8"/>
        <v>Boost Savings</v>
      </c>
      <c r="D29" s="24">
        <v>0.0</v>
      </c>
      <c r="E29" s="5" t="str">
        <f t="shared" si="17"/>
        <v/>
      </c>
      <c r="G29" s="2" t="s">
        <v>73</v>
      </c>
      <c r="H29" s="78">
        <f>H27+G17</f>
        <v>0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SUM(D25:D29)</f>
        <v>0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0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 t="str">
        <f>C$2</f>
        <v/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0</v>
      </c>
      <c r="O35" s="85" t="str">
        <f t="shared" ref="O35:O48" si="19">O34-M35/Q$50</f>
        <v>#DIV/0!</v>
      </c>
      <c r="P35" s="85" t="str">
        <f t="shared" ref="P35:P48" si="20">P34-M35/Q$50</f>
        <v>#DIV/0!</v>
      </c>
      <c r="Q35" s="85" t="str">
        <f t="shared" ref="Q35:Q48" si="21">Q34-M35/Q$50</f>
        <v>#DIV/0!</v>
      </c>
    </row>
    <row r="36" ht="15.75" customHeight="1">
      <c r="A36" s="80" t="s">
        <v>89</v>
      </c>
      <c r="B36" s="83">
        <f>C$2+1</f>
        <v>1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2">SUM(C36:L36)</f>
        <v>0</v>
      </c>
      <c r="N36" s="85" t="str">
        <f t="shared" ref="N36:N48" si="23">N35-M36/Q$50</f>
        <v>#DIV/0!</v>
      </c>
      <c r="O36" s="85" t="str">
        <f t="shared" si="19"/>
        <v>#DIV/0!</v>
      </c>
      <c r="P36" s="85" t="str">
        <f t="shared" si="20"/>
        <v>#DIV/0!</v>
      </c>
      <c r="Q36" s="85" t="str">
        <f t="shared" si="21"/>
        <v>#DIV/0!</v>
      </c>
    </row>
    <row r="37" ht="15.75" customHeight="1">
      <c r="A37" s="80" t="s">
        <v>90</v>
      </c>
      <c r="B37" s="83">
        <f>C$2+3</f>
        <v>3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2"/>
        <v>0</v>
      </c>
      <c r="N37" s="85" t="str">
        <f t="shared" si="23"/>
        <v>#DIV/0!</v>
      </c>
      <c r="O37" s="85" t="str">
        <f t="shared" si="19"/>
        <v>#DIV/0!</v>
      </c>
      <c r="P37" s="85" t="str">
        <f t="shared" si="20"/>
        <v>#DIV/0!</v>
      </c>
      <c r="Q37" s="85" t="str">
        <f t="shared" si="21"/>
        <v>#DIV/0!</v>
      </c>
    </row>
    <row r="38" ht="15.75" customHeight="1">
      <c r="A38" s="80" t="s">
        <v>91</v>
      </c>
      <c r="B38" s="83">
        <f>C$2+4</f>
        <v>4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2"/>
        <v>0</v>
      </c>
      <c r="N38" s="85" t="str">
        <f t="shared" si="23"/>
        <v>#DIV/0!</v>
      </c>
      <c r="O38" s="85" t="str">
        <f t="shared" si="19"/>
        <v>#DIV/0!</v>
      </c>
      <c r="P38" s="85" t="str">
        <f t="shared" si="20"/>
        <v>#DIV/0!</v>
      </c>
      <c r="Q38" s="85" t="str">
        <f t="shared" si="21"/>
        <v>#DIV/0!</v>
      </c>
    </row>
    <row r="39" ht="15.75" customHeight="1">
      <c r="A39" s="80" t="s">
        <v>92</v>
      </c>
      <c r="B39" s="83">
        <f>C$2+5</f>
        <v>5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2"/>
        <v>0</v>
      </c>
      <c r="N39" s="85" t="str">
        <f t="shared" si="23"/>
        <v>#DIV/0!</v>
      </c>
      <c r="O39" s="85" t="str">
        <f t="shared" si="19"/>
        <v>#DIV/0!</v>
      </c>
      <c r="P39" s="85" t="str">
        <f t="shared" si="20"/>
        <v>#DIV/0!</v>
      </c>
      <c r="Q39" s="85" t="str">
        <f t="shared" si="21"/>
        <v>#DIV/0!</v>
      </c>
    </row>
    <row r="40" ht="15.0" customHeight="1">
      <c r="A40" s="80" t="s">
        <v>93</v>
      </c>
      <c r="B40" s="83">
        <f>C$2+6</f>
        <v>6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2"/>
        <v>0</v>
      </c>
      <c r="N40" s="85" t="str">
        <f t="shared" si="23"/>
        <v>#DIV/0!</v>
      </c>
      <c r="O40" s="85" t="str">
        <f t="shared" si="19"/>
        <v>#DIV/0!</v>
      </c>
      <c r="P40" s="85" t="str">
        <f t="shared" si="20"/>
        <v>#DIV/0!</v>
      </c>
      <c r="Q40" s="85" t="str">
        <f t="shared" si="21"/>
        <v>#DIV/0!</v>
      </c>
    </row>
    <row r="41" ht="12.0" customHeight="1">
      <c r="A41" s="80" t="s">
        <v>94</v>
      </c>
      <c r="B41" s="83">
        <f>C$2+7</f>
        <v>7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2"/>
        <v>0</v>
      </c>
      <c r="N41" s="85" t="str">
        <f t="shared" si="23"/>
        <v>#DIV/0!</v>
      </c>
      <c r="O41" s="85" t="str">
        <f t="shared" si="19"/>
        <v>#DIV/0!</v>
      </c>
      <c r="P41" s="85" t="str">
        <f t="shared" si="20"/>
        <v>#DIV/0!</v>
      </c>
      <c r="Q41" s="85" t="str">
        <f t="shared" si="21"/>
        <v>#DIV/0!</v>
      </c>
    </row>
    <row r="42" ht="15.75" customHeight="1">
      <c r="A42" s="80" t="s">
        <v>8</v>
      </c>
      <c r="B42" s="83">
        <f>C$2+8</f>
        <v>8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2"/>
        <v>0</v>
      </c>
      <c r="N42" s="85" t="str">
        <f t="shared" si="23"/>
        <v>#DIV/0!</v>
      </c>
      <c r="O42" s="85" t="str">
        <f t="shared" si="19"/>
        <v>#DIV/0!</v>
      </c>
      <c r="P42" s="85" t="str">
        <f t="shared" si="20"/>
        <v>#DIV/0!</v>
      </c>
      <c r="Q42" s="85" t="str">
        <f t="shared" si="21"/>
        <v>#DIV/0!</v>
      </c>
    </row>
    <row r="43" ht="15.75" customHeight="1">
      <c r="A43" s="80" t="s">
        <v>89</v>
      </c>
      <c r="B43" s="83">
        <f>C$2+9</f>
        <v>9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2"/>
        <v>0</v>
      </c>
      <c r="N43" s="85" t="str">
        <f t="shared" si="23"/>
        <v>#DIV/0!</v>
      </c>
      <c r="O43" s="85" t="str">
        <f t="shared" si="19"/>
        <v>#DIV/0!</v>
      </c>
      <c r="P43" s="85" t="str">
        <f t="shared" si="20"/>
        <v>#DIV/0!</v>
      </c>
      <c r="Q43" s="85" t="str">
        <f t="shared" si="21"/>
        <v>#DIV/0!</v>
      </c>
    </row>
    <row r="44" ht="15.75" customHeight="1">
      <c r="A44" s="80" t="s">
        <v>90</v>
      </c>
      <c r="B44" s="83">
        <f>C$2+10</f>
        <v>10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2"/>
        <v>0</v>
      </c>
      <c r="N44" s="85" t="str">
        <f t="shared" si="23"/>
        <v>#DIV/0!</v>
      </c>
      <c r="O44" s="85" t="str">
        <f t="shared" si="19"/>
        <v>#DIV/0!</v>
      </c>
      <c r="P44" s="85" t="str">
        <f t="shared" si="20"/>
        <v>#DIV/0!</v>
      </c>
      <c r="Q44" s="85" t="str">
        <f t="shared" si="21"/>
        <v>#DIV/0!</v>
      </c>
    </row>
    <row r="45" ht="15.75" customHeight="1">
      <c r="A45" s="80" t="s">
        <v>91</v>
      </c>
      <c r="B45" s="83">
        <f>C$2+11</f>
        <v>11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2"/>
        <v>0</v>
      </c>
      <c r="N45" s="85" t="str">
        <f t="shared" si="23"/>
        <v>#DIV/0!</v>
      </c>
      <c r="O45" s="85" t="str">
        <f t="shared" si="19"/>
        <v>#DIV/0!</v>
      </c>
      <c r="P45" s="85" t="str">
        <f t="shared" si="20"/>
        <v>#DIV/0!</v>
      </c>
      <c r="Q45" s="85" t="str">
        <f t="shared" si="21"/>
        <v>#DIV/0!</v>
      </c>
    </row>
    <row r="46" ht="15.75" customHeight="1">
      <c r="A46" s="80" t="s">
        <v>92</v>
      </c>
      <c r="B46" s="83">
        <f>C$2+12</f>
        <v>12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2"/>
        <v>0</v>
      </c>
      <c r="N46" s="85" t="str">
        <f t="shared" si="23"/>
        <v>#DIV/0!</v>
      </c>
      <c r="O46" s="85" t="str">
        <f t="shared" si="19"/>
        <v>#DIV/0!</v>
      </c>
      <c r="P46" s="85" t="str">
        <f t="shared" si="20"/>
        <v>#DIV/0!</v>
      </c>
      <c r="Q46" s="85" t="str">
        <f t="shared" si="21"/>
        <v>#DIV/0!</v>
      </c>
    </row>
    <row r="47" ht="15.75" customHeight="1">
      <c r="A47" s="80" t="s">
        <v>93</v>
      </c>
      <c r="B47" s="83">
        <f>C$2+13</f>
        <v>13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2"/>
        <v>0</v>
      </c>
      <c r="N47" s="85" t="str">
        <f t="shared" si="23"/>
        <v>#DIV/0!</v>
      </c>
      <c r="O47" s="85" t="str">
        <f t="shared" si="19"/>
        <v>#DIV/0!</v>
      </c>
      <c r="P47" s="85" t="str">
        <f t="shared" si="20"/>
        <v>#DIV/0!</v>
      </c>
      <c r="Q47" s="85" t="str">
        <f t="shared" si="21"/>
        <v>#DIV/0!</v>
      </c>
    </row>
    <row r="48" ht="15.75" customHeight="1">
      <c r="A48" s="80" t="s">
        <v>94</v>
      </c>
      <c r="B48" s="83">
        <f>C$2+14</f>
        <v>14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2"/>
        <v>0</v>
      </c>
      <c r="N48" s="85" t="str">
        <f t="shared" si="23"/>
        <v>#DIV/0!</v>
      </c>
      <c r="O48" s="85" t="str">
        <f t="shared" si="19"/>
        <v>#DIV/0!</v>
      </c>
      <c r="P48" s="85" t="str">
        <f t="shared" si="20"/>
        <v>#DIV/0!</v>
      </c>
      <c r="Q48" s="85" t="str">
        <f t="shared" si="21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4">SUM(C35:C48)</f>
        <v>0</v>
      </c>
      <c r="D50" s="63">
        <f t="shared" si="24"/>
        <v>0</v>
      </c>
      <c r="E50" s="63">
        <f t="shared" ref="E50:L50" si="25">SUM(E36:E48)</f>
        <v>0</v>
      </c>
      <c r="F50" s="63">
        <f t="shared" si="25"/>
        <v>0</v>
      </c>
      <c r="G50" s="63">
        <f t="shared" si="25"/>
        <v>0</v>
      </c>
      <c r="H50" s="63">
        <f t="shared" si="25"/>
        <v>0</v>
      </c>
      <c r="I50" s="63">
        <f t="shared" si="25"/>
        <v>0</v>
      </c>
      <c r="J50" s="63">
        <f t="shared" si="25"/>
        <v>0</v>
      </c>
      <c r="K50" s="63">
        <f t="shared" si="25"/>
        <v>0</v>
      </c>
      <c r="L50" s="63">
        <f t="shared" si="25"/>
        <v>0</v>
      </c>
      <c r="M50" s="63">
        <f>SUM(M35:M48)</f>
        <v>0</v>
      </c>
      <c r="N50" s="88" t="str">
        <f>I26/H27</f>
        <v>#DIV/0!</v>
      </c>
      <c r="O50" s="37" t="str">
        <f>(N34-M50)/Q50</f>
        <v>#DIV/0!</v>
      </c>
      <c r="P50" s="88" t="str">
        <f>100% -N50</f>
        <v>#DIV/0!</v>
      </c>
      <c r="Q50" s="16" t="str">
        <f>G19</f>
        <v/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mergeCells count="1">
    <mergeCell ref="A1:A9"/>
  </mergeCell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3" width="26.43"/>
    <col customWidth="1" min="4" max="4" width="13.86"/>
    <col customWidth="1" min="5" max="5" width="20.43"/>
    <col customWidth="1" min="6" max="6" width="27.57"/>
    <col customWidth="1" min="7" max="7" width="20.43"/>
    <col customWidth="1" min="8" max="8" width="15.43"/>
    <col customWidth="1" min="9" max="9" width="23.57"/>
    <col customWidth="1" min="10" max="10" width="24.57"/>
    <col customWidth="1" min="11" max="11" width="23.57"/>
    <col customWidth="1" min="12" max="12" width="24.43"/>
    <col customWidth="1" min="13" max="13" width="35.86"/>
    <col customWidth="1" min="14" max="14" width="21.0"/>
    <col customWidth="1" min="15" max="15" width="25.57"/>
    <col customWidth="1" min="16" max="16" width="26.14"/>
    <col customWidth="1" min="17" max="17" width="23.57"/>
    <col customWidth="1" min="18" max="18" width="15.43"/>
    <col customWidth="1" min="19" max="19" width="11.57"/>
    <col customWidth="1" min="20" max="20" width="11.43"/>
    <col customWidth="1" min="21" max="21" width="24.57"/>
    <col customWidth="1" min="22" max="22" width="16.14"/>
    <col customWidth="1" min="23" max="23" width="14.57"/>
    <col customWidth="1" min="24" max="26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4" t="s">
        <v>7</v>
      </c>
      <c r="J1" s="3"/>
    </row>
    <row r="2">
      <c r="A2" s="1"/>
      <c r="B2" s="5" t="s">
        <v>8</v>
      </c>
      <c r="C2" s="5">
        <v>45530.0</v>
      </c>
      <c r="D2" s="6">
        <v>0.3388888888888889</v>
      </c>
      <c r="E2" s="10"/>
      <c r="F2" s="8">
        <v>0.0</v>
      </c>
      <c r="G2" s="9">
        <f>C3</f>
        <v>0</v>
      </c>
      <c r="H2" s="10">
        <v>0.0</v>
      </c>
      <c r="I2" s="10">
        <f>E2+G2</f>
        <v>0</v>
      </c>
      <c r="J2" s="7"/>
      <c r="K2" s="10"/>
      <c r="L2" s="10"/>
      <c r="M2" s="10"/>
      <c r="N2" s="10"/>
      <c r="O2" s="10"/>
      <c r="P2" s="10"/>
    </row>
    <row r="3">
      <c r="A3" s="1"/>
      <c r="B3" s="11" t="s">
        <v>10</v>
      </c>
      <c r="C3" s="12">
        <f>IF(J23&gt;L23,D3,D3-(L23-J23)+G17)</f>
        <v>0</v>
      </c>
      <c r="D3" s="13">
        <v>0.0</v>
      </c>
      <c r="F3" s="10">
        <f>-F2+500</f>
        <v>500</v>
      </c>
      <c r="G3" s="10" t="str">
        <f>E2</f>
        <v/>
      </c>
      <c r="I3" s="10">
        <f>F2+C9</f>
        <v>0</v>
      </c>
      <c r="J3" s="14" t="s">
        <v>11</v>
      </c>
      <c r="K3" s="15"/>
      <c r="Q3" s="4" t="s">
        <v>12</v>
      </c>
    </row>
    <row r="4">
      <c r="A4" s="1"/>
      <c r="B4" s="2" t="s">
        <v>13</v>
      </c>
      <c r="C4" s="10">
        <v>0.0</v>
      </c>
      <c r="D4" s="16" t="s">
        <v>14</v>
      </c>
      <c r="E4" s="16" t="s">
        <v>15</v>
      </c>
      <c r="F4" s="18">
        <f>F3+F2</f>
        <v>500</v>
      </c>
      <c r="G4" s="18">
        <f>G2+G3</f>
        <v>0</v>
      </c>
      <c r="I4" s="19">
        <f>SUM(I2:I3)</f>
        <v>0</v>
      </c>
      <c r="J4" s="20">
        <f>B12+I4+G17</f>
        <v>0</v>
      </c>
      <c r="K4" s="11" t="str">
        <f>IF(J4&gt;=0, "Fuel Up", "Left Over Debt")</f>
        <v>Fuel Up</v>
      </c>
      <c r="M4" s="21" t="str">
        <f>IF(M5 ="&lt;---------------------&gt;","MAXED OUT","")</f>
        <v/>
      </c>
      <c r="N4" s="22" t="s">
        <v>16</v>
      </c>
      <c r="O4" s="23"/>
      <c r="P4" s="16" t="s">
        <v>17</v>
      </c>
      <c r="Q4" s="15">
        <f>H$11</f>
        <v>45530</v>
      </c>
    </row>
    <row r="5">
      <c r="A5" s="1"/>
      <c r="B5" s="2" t="s">
        <v>18</v>
      </c>
      <c r="C5" s="10">
        <f>SUM(D5:E5)-E11</f>
        <v>0</v>
      </c>
      <c r="D5" s="24">
        <v>0.0</v>
      </c>
      <c r="E5" s="24">
        <v>0.0</v>
      </c>
      <c r="F5" s="11" t="s">
        <v>19</v>
      </c>
      <c r="G5" s="10"/>
      <c r="I5" s="10"/>
      <c r="J5" s="25"/>
      <c r="M5" s="21" t="str">
        <f t="shared" ref="M5:M30" si="1">IF(B$12&lt;O5, "&lt;---------------------&gt;", "")</f>
        <v/>
      </c>
      <c r="N5" s="26"/>
      <c r="O5" s="11">
        <v>-7500.0</v>
      </c>
      <c r="P5" s="27" t="str">
        <f t="shared" ref="P5:P30" si="2">IF(J$4&lt;O5, "&lt;", "")</f>
        <v/>
      </c>
    </row>
    <row r="6">
      <c r="A6" s="1"/>
      <c r="B6" s="2" t="s">
        <v>20</v>
      </c>
      <c r="C6" s="10">
        <f t="shared" ref="C6:C9" si="3">SUM(D6:E6)</f>
        <v>0</v>
      </c>
      <c r="D6" s="24">
        <v>0.0</v>
      </c>
      <c r="E6" s="24">
        <f t="shared" ref="E6:E9" si="4">0-F6</f>
        <v>0</v>
      </c>
      <c r="F6" s="24">
        <v>0.0</v>
      </c>
      <c r="J6" s="7"/>
      <c r="K6" s="15"/>
      <c r="M6" s="21" t="str">
        <f t="shared" si="1"/>
        <v/>
      </c>
      <c r="N6" s="26"/>
      <c r="O6" s="11">
        <v>-7200.0</v>
      </c>
      <c r="P6" s="27" t="str">
        <f t="shared" si="2"/>
        <v/>
      </c>
    </row>
    <row r="7">
      <c r="A7" s="1"/>
      <c r="B7" s="2" t="s">
        <v>21</v>
      </c>
      <c r="C7" s="10">
        <f t="shared" si="3"/>
        <v>0</v>
      </c>
      <c r="D7" s="24">
        <f t="shared" ref="D7:D8" si="5">0+D28</f>
        <v>0</v>
      </c>
      <c r="E7" s="24">
        <f t="shared" si="4"/>
        <v>0</v>
      </c>
      <c r="F7" s="24">
        <v>0.0</v>
      </c>
      <c r="J7" s="7"/>
      <c r="M7" s="21" t="str">
        <f t="shared" si="1"/>
        <v/>
      </c>
      <c r="N7" s="26"/>
      <c r="O7" s="11">
        <v>-6900.0</v>
      </c>
      <c r="P7" s="27" t="str">
        <f t="shared" si="2"/>
        <v/>
      </c>
    </row>
    <row r="8">
      <c r="A8" s="1"/>
      <c r="B8" s="2" t="s">
        <v>22</v>
      </c>
      <c r="C8" s="10">
        <f t="shared" si="3"/>
        <v>0</v>
      </c>
      <c r="D8" s="24">
        <f t="shared" si="5"/>
        <v>0</v>
      </c>
      <c r="E8" s="24">
        <f t="shared" si="4"/>
        <v>0</v>
      </c>
      <c r="F8" s="24">
        <v>0.0</v>
      </c>
      <c r="J8" s="7"/>
      <c r="M8" s="21" t="str">
        <f t="shared" si="1"/>
        <v/>
      </c>
      <c r="N8" s="26"/>
      <c r="O8" s="11">
        <v>-6600.0</v>
      </c>
      <c r="P8" s="27" t="str">
        <f t="shared" si="2"/>
        <v/>
      </c>
    </row>
    <row r="9" ht="44.25" customHeight="1">
      <c r="A9" s="1"/>
      <c r="B9" s="28" t="s">
        <v>23</v>
      </c>
      <c r="C9" s="29">
        <f t="shared" si="3"/>
        <v>0</v>
      </c>
      <c r="D9" s="24">
        <v>0.0</v>
      </c>
      <c r="E9" s="24">
        <f t="shared" si="4"/>
        <v>0</v>
      </c>
      <c r="F9" s="24">
        <v>0.0</v>
      </c>
      <c r="G9" s="10"/>
      <c r="J9" s="7"/>
      <c r="M9" s="21" t="str">
        <f t="shared" si="1"/>
        <v/>
      </c>
      <c r="N9" s="26"/>
      <c r="O9" s="11">
        <v>-6300.0</v>
      </c>
      <c r="P9" s="27" t="str">
        <f t="shared" si="2"/>
        <v/>
      </c>
    </row>
    <row r="10">
      <c r="B10" s="2" t="s">
        <v>24</v>
      </c>
      <c r="C10" s="10">
        <f>C3</f>
        <v>0</v>
      </c>
      <c r="D10" s="24"/>
      <c r="E10" s="24"/>
      <c r="F10" s="10"/>
      <c r="H10" s="17" t="s">
        <v>104</v>
      </c>
      <c r="J10" s="7"/>
      <c r="M10" s="21" t="str">
        <f t="shared" si="1"/>
        <v/>
      </c>
      <c r="N10" s="26"/>
      <c r="O10" s="11">
        <v>-6000.0</v>
      </c>
      <c r="P10" s="27" t="str">
        <f t="shared" si="2"/>
        <v/>
      </c>
    </row>
    <row r="11">
      <c r="A11" s="2" t="s">
        <v>100</v>
      </c>
      <c r="B11" s="30" t="s">
        <v>27</v>
      </c>
      <c r="C11" s="10"/>
      <c r="D11" s="2" t="s">
        <v>28</v>
      </c>
      <c r="E11" s="10">
        <f>F6+F7+F8+F9+D27</f>
        <v>0</v>
      </c>
      <c r="H11" s="31">
        <v>45530.0</v>
      </c>
      <c r="J11" s="3"/>
      <c r="M11" s="21" t="str">
        <f t="shared" si="1"/>
        <v/>
      </c>
      <c r="N11" s="26"/>
      <c r="O11" s="11">
        <v>-5700.0</v>
      </c>
      <c r="P11" s="27" t="str">
        <f t="shared" si="2"/>
        <v/>
      </c>
      <c r="Q11" s="32"/>
    </row>
    <row r="12">
      <c r="A12" s="11" t="s">
        <v>29</v>
      </c>
      <c r="B12" s="33">
        <f>-B15</f>
        <v>0</v>
      </c>
      <c r="C12" s="11" t="s">
        <v>30</v>
      </c>
      <c r="D12" s="11" t="s">
        <v>31</v>
      </c>
      <c r="E12" s="11" t="s">
        <v>32</v>
      </c>
      <c r="F12" s="14" t="s">
        <v>33</v>
      </c>
      <c r="G12" s="11" t="s">
        <v>34</v>
      </c>
      <c r="H12" s="11" t="s">
        <v>35</v>
      </c>
      <c r="I12" s="11" t="s">
        <v>36</v>
      </c>
      <c r="J12" s="11" t="s">
        <v>37</v>
      </c>
      <c r="K12" s="11" t="s">
        <v>38</v>
      </c>
      <c r="L12" s="11" t="s">
        <v>39</v>
      </c>
      <c r="M12" s="21" t="str">
        <f t="shared" si="1"/>
        <v/>
      </c>
      <c r="N12" s="34"/>
      <c r="O12" s="11">
        <v>-5400.0</v>
      </c>
      <c r="P12" s="27" t="str">
        <f t="shared" si="2"/>
        <v/>
      </c>
      <c r="Q12" s="32"/>
    </row>
    <row r="13">
      <c r="A13" s="28" t="s">
        <v>40</v>
      </c>
      <c r="B13" s="24">
        <v>0.0</v>
      </c>
      <c r="C13" s="35">
        <v>0.0</v>
      </c>
      <c r="D13" s="24">
        <f t="shared" ref="D13:D14" si="6">B13-C13</f>
        <v>0</v>
      </c>
      <c r="E13" s="36">
        <f t="shared" ref="E13:E14" si="7">I13</f>
        <v>0</v>
      </c>
      <c r="F13" s="24">
        <f t="shared" ref="F13:F14" si="8">B13-E13</f>
        <v>0</v>
      </c>
      <c r="G13" s="37">
        <f>H13-C2</f>
        <v>0</v>
      </c>
      <c r="H13" s="38">
        <f>H$11</f>
        <v>45530</v>
      </c>
      <c r="I13" s="24">
        <v>0.0</v>
      </c>
      <c r="J13" s="25">
        <f>B13</f>
        <v>0</v>
      </c>
      <c r="K13" s="11" t="s">
        <v>41</v>
      </c>
      <c r="L13" s="24">
        <f t="shared" ref="L13:L14" si="9">C13</f>
        <v>0</v>
      </c>
      <c r="M13" s="21" t="str">
        <f t="shared" si="1"/>
        <v/>
      </c>
      <c r="N13" s="34"/>
      <c r="O13" s="11">
        <v>-5100.0</v>
      </c>
      <c r="P13" s="27" t="str">
        <f t="shared" si="2"/>
        <v/>
      </c>
      <c r="Q13" s="32"/>
    </row>
    <row r="14">
      <c r="A14" s="28" t="s">
        <v>42</v>
      </c>
      <c r="B14" s="24">
        <v>0.0</v>
      </c>
      <c r="C14" s="35">
        <v>0.0</v>
      </c>
      <c r="D14" s="24">
        <f t="shared" si="6"/>
        <v>0</v>
      </c>
      <c r="E14" s="36">
        <f t="shared" si="7"/>
        <v>0</v>
      </c>
      <c r="F14" s="24">
        <f t="shared" si="8"/>
        <v>0</v>
      </c>
      <c r="G14" s="37">
        <f>H14-C2</f>
        <v>14</v>
      </c>
      <c r="H14" s="38">
        <f>F21</f>
        <v>45544</v>
      </c>
      <c r="I14" s="24">
        <v>0.0</v>
      </c>
      <c r="J14" s="25">
        <f>B14-0</f>
        <v>0</v>
      </c>
      <c r="K14" s="11" t="s">
        <v>41</v>
      </c>
      <c r="L14" s="24">
        <f t="shared" si="9"/>
        <v>0</v>
      </c>
      <c r="M14" s="21" t="str">
        <f t="shared" si="1"/>
        <v/>
      </c>
      <c r="N14" s="34"/>
      <c r="O14" s="11">
        <v>-4800.0</v>
      </c>
      <c r="P14" s="27" t="str">
        <f t="shared" si="2"/>
        <v/>
      </c>
      <c r="Q14" s="32"/>
    </row>
    <row r="15">
      <c r="A15" s="28" t="s">
        <v>43</v>
      </c>
      <c r="B15" s="91">
        <f t="shared" ref="B15:F15" si="10">SUM(B13:B14)</f>
        <v>0</v>
      </c>
      <c r="C15" s="35">
        <f t="shared" si="10"/>
        <v>0</v>
      </c>
      <c r="D15" s="24">
        <f t="shared" si="10"/>
        <v>0</v>
      </c>
      <c r="E15" s="36">
        <f t="shared" si="10"/>
        <v>0</v>
      </c>
      <c r="F15" s="40">
        <f t="shared" si="10"/>
        <v>0</v>
      </c>
      <c r="G15" s="37"/>
      <c r="H15" s="11" t="s">
        <v>44</v>
      </c>
      <c r="I15" s="41">
        <f t="shared" ref="I15:J15" si="11">SUM(I13:I14)</f>
        <v>0</v>
      </c>
      <c r="J15" s="25">
        <f t="shared" si="11"/>
        <v>0</v>
      </c>
      <c r="K15" s="11" t="s">
        <v>41</v>
      </c>
      <c r="L15" s="24">
        <f>SUM(L13:L14)</f>
        <v>0</v>
      </c>
      <c r="M15" s="21" t="str">
        <f t="shared" si="1"/>
        <v/>
      </c>
      <c r="N15" s="34"/>
      <c r="O15" s="11">
        <v>-4500.0</v>
      </c>
      <c r="P15" s="27" t="str">
        <f t="shared" si="2"/>
        <v/>
      </c>
      <c r="Q15" s="32"/>
    </row>
    <row r="16">
      <c r="B16" s="92"/>
      <c r="E16" s="42" t="s">
        <v>45</v>
      </c>
      <c r="J16" s="43"/>
      <c r="K16" s="44"/>
      <c r="M16" s="21" t="str">
        <f t="shared" si="1"/>
        <v/>
      </c>
      <c r="N16" s="34"/>
      <c r="O16" s="11">
        <v>-4200.0</v>
      </c>
      <c r="P16" s="27" t="str">
        <f t="shared" si="2"/>
        <v/>
      </c>
      <c r="Q16" s="32"/>
    </row>
    <row r="17">
      <c r="A17" s="4" t="s">
        <v>46</v>
      </c>
      <c r="B17" s="45"/>
      <c r="C17" s="11" t="s">
        <v>47</v>
      </c>
      <c r="D17" s="46"/>
      <c r="F17" s="47" t="s">
        <v>48</v>
      </c>
      <c r="G17" s="48"/>
      <c r="H17" s="11"/>
      <c r="J17" s="43"/>
      <c r="K17" s="49"/>
      <c r="M17" s="21" t="str">
        <f t="shared" si="1"/>
        <v/>
      </c>
      <c r="N17" s="34"/>
      <c r="O17" s="11">
        <v>-3900.0</v>
      </c>
      <c r="P17" s="27" t="str">
        <f t="shared" si="2"/>
        <v/>
      </c>
      <c r="Q17" s="32"/>
    </row>
    <row r="18">
      <c r="A18" s="2">
        <v>1.0</v>
      </c>
      <c r="B18" s="45"/>
      <c r="C18" s="16" t="str">
        <f>IF(B28&gt;B17,"Increase","Decrease")</f>
        <v>Decrease</v>
      </c>
      <c r="D18" s="50">
        <f>B28-B17</f>
        <v>0</v>
      </c>
      <c r="E18" s="42"/>
      <c r="F18" s="2" t="s">
        <v>25</v>
      </c>
      <c r="G18" s="16" t="s">
        <v>49</v>
      </c>
      <c r="H18" s="16"/>
      <c r="J18" s="3"/>
      <c r="M18" s="21" t="str">
        <f t="shared" si="1"/>
        <v/>
      </c>
      <c r="N18" s="34"/>
      <c r="O18" s="11">
        <v>-3600.0</v>
      </c>
      <c r="P18" s="27" t="str">
        <f t="shared" si="2"/>
        <v/>
      </c>
      <c r="Q18" s="32"/>
    </row>
    <row r="19">
      <c r="A19" s="2">
        <v>2.0</v>
      </c>
      <c r="B19" s="45"/>
      <c r="D19" s="11"/>
      <c r="E19" s="2" t="s">
        <v>50</v>
      </c>
      <c r="F19" s="51">
        <f>H11</f>
        <v>45530</v>
      </c>
      <c r="G19" s="11">
        <f>F19-E23</f>
        <v>0</v>
      </c>
      <c r="H19" s="16" t="s">
        <v>51</v>
      </c>
      <c r="J19" s="16" t="s">
        <v>52</v>
      </c>
      <c r="K19" s="16" t="s">
        <v>53</v>
      </c>
      <c r="L19" s="52" t="s">
        <v>107</v>
      </c>
      <c r="M19" s="21" t="str">
        <f t="shared" si="1"/>
        <v/>
      </c>
      <c r="N19" s="34"/>
      <c r="O19" s="11">
        <v>-3300.0</v>
      </c>
      <c r="P19" s="27" t="str">
        <f t="shared" si="2"/>
        <v/>
      </c>
      <c r="Q19" s="32"/>
    </row>
    <row r="20">
      <c r="A20" s="2">
        <v>3.0</v>
      </c>
      <c r="B20" s="45"/>
      <c r="D20" s="11"/>
      <c r="E20" s="1"/>
      <c r="F20" s="11">
        <v>14.0</v>
      </c>
      <c r="G20" s="53" t="s">
        <v>55</v>
      </c>
      <c r="H20" s="54" t="s">
        <v>56</v>
      </c>
      <c r="I20" s="55" t="s">
        <v>57</v>
      </c>
      <c r="J20" s="56">
        <f>I15</f>
        <v>0</v>
      </c>
      <c r="K20" s="53" t="str">
        <f>IF(J20 &gt;=L20, "Paid", "Owed")</f>
        <v>Paid</v>
      </c>
      <c r="L20" s="39">
        <f>L15</f>
        <v>0</v>
      </c>
      <c r="M20" s="21" t="str">
        <f t="shared" si="1"/>
        <v/>
      </c>
      <c r="N20" s="34"/>
      <c r="O20" s="11">
        <v>-3000.0</v>
      </c>
      <c r="P20" s="27" t="str">
        <f t="shared" si="2"/>
        <v/>
      </c>
      <c r="Q20" s="32"/>
    </row>
    <row r="21" ht="15.75" customHeight="1">
      <c r="A21" s="2">
        <v>4.0</v>
      </c>
      <c r="B21" s="45"/>
      <c r="D21" s="11"/>
      <c r="E21" s="1"/>
      <c r="F21" s="89">
        <f>SUM(F19:F20)</f>
        <v>45544</v>
      </c>
      <c r="G21" s="53" t="str">
        <f>IMSUB(F23,F21)</f>
        <v>14</v>
      </c>
      <c r="H21" s="54" t="s">
        <v>106</v>
      </c>
      <c r="I21" s="55" t="s">
        <v>59</v>
      </c>
      <c r="J21" s="56">
        <v>0.0</v>
      </c>
      <c r="K21" s="53" t="str">
        <f t="shared" ref="K21:K23" si="12">IF(J21 =L21, "Paid", "Owed")</f>
        <v>Paid</v>
      </c>
      <c r="L21" s="39">
        <f t="shared" ref="L21:L22" si="13">D25</f>
        <v>0</v>
      </c>
      <c r="M21" s="21" t="str">
        <f t="shared" si="1"/>
        <v/>
      </c>
      <c r="N21" s="34"/>
      <c r="O21" s="11">
        <v>-2700.0</v>
      </c>
      <c r="P21" s="27" t="str">
        <f t="shared" si="2"/>
        <v/>
      </c>
      <c r="Q21" s="32"/>
    </row>
    <row r="22" ht="15.75" customHeight="1">
      <c r="A22" s="2">
        <v>5.0</v>
      </c>
      <c r="B22" s="45"/>
      <c r="D22" s="11"/>
      <c r="E22" s="1"/>
      <c r="F22" s="11">
        <v>14.0</v>
      </c>
      <c r="G22" s="53" t="s">
        <v>55</v>
      </c>
      <c r="H22" s="54" t="s">
        <v>56</v>
      </c>
      <c r="I22" s="55" t="s">
        <v>60</v>
      </c>
      <c r="J22" s="56">
        <v>0.0</v>
      </c>
      <c r="K22" s="53" t="str">
        <f t="shared" si="12"/>
        <v>Paid</v>
      </c>
      <c r="L22" s="39">
        <f t="shared" si="13"/>
        <v>0</v>
      </c>
      <c r="M22" s="21" t="str">
        <f t="shared" si="1"/>
        <v/>
      </c>
      <c r="N22" s="61"/>
      <c r="O22" s="11">
        <v>-2400.0</v>
      </c>
      <c r="P22" s="27" t="str">
        <f t="shared" si="2"/>
        <v/>
      </c>
      <c r="Q22" s="32"/>
    </row>
    <row r="23" ht="15.75" customHeight="1">
      <c r="A23" s="2">
        <v>6.0</v>
      </c>
      <c r="B23" s="45"/>
      <c r="D23" s="11"/>
      <c r="E23" s="38">
        <f>C2</f>
        <v>45530</v>
      </c>
      <c r="F23" s="90">
        <f>SUM(F21:F22)</f>
        <v>45558</v>
      </c>
      <c r="G23" s="53" t="str">
        <f>IMSUB(F23,E23)</f>
        <v>28</v>
      </c>
      <c r="H23" s="54" t="s">
        <v>106</v>
      </c>
      <c r="I23" s="56" t="s">
        <v>101</v>
      </c>
      <c r="J23" s="20">
        <f>SUM(J20:J22)</f>
        <v>0</v>
      </c>
      <c r="K23" s="53" t="str">
        <f t="shared" si="12"/>
        <v>Paid</v>
      </c>
      <c r="L23" s="39">
        <f>SUM(L20:L22)</f>
        <v>0</v>
      </c>
      <c r="M23" s="21" t="str">
        <f t="shared" si="1"/>
        <v/>
      </c>
      <c r="N23" s="61"/>
      <c r="O23" s="11">
        <v>-2100.0</v>
      </c>
      <c r="P23" s="27" t="str">
        <f t="shared" si="2"/>
        <v/>
      </c>
      <c r="Q23" s="32"/>
    </row>
    <row r="24" ht="15.75" customHeight="1">
      <c r="A24" s="2">
        <v>7.0</v>
      </c>
      <c r="B24" s="45"/>
      <c r="C24" s="16" t="s">
        <v>63</v>
      </c>
      <c r="D24" s="11"/>
      <c r="E24" s="10"/>
      <c r="I24" s="63"/>
      <c r="J24" s="3"/>
      <c r="K24" s="16"/>
      <c r="M24" s="21" t="str">
        <f t="shared" si="1"/>
        <v/>
      </c>
      <c r="N24" s="61"/>
      <c r="O24" s="11">
        <v>-1800.0</v>
      </c>
      <c r="P24" s="27" t="str">
        <f t="shared" si="2"/>
        <v/>
      </c>
      <c r="Q24" s="32"/>
    </row>
    <row r="25" ht="15.75" customHeight="1">
      <c r="A25" s="2">
        <v>8.0</v>
      </c>
      <c r="B25" s="45"/>
      <c r="C25" s="4" t="str">
        <f t="shared" ref="C25:C26" si="14">I21</f>
        <v>Mortgage</v>
      </c>
      <c r="D25" s="63">
        <v>0.0</v>
      </c>
      <c r="E25" s="5">
        <f t="shared" ref="E25:E28" si="15">H$11</f>
        <v>45530</v>
      </c>
      <c r="G25" s="14" t="s">
        <v>65</v>
      </c>
      <c r="H25" s="40">
        <f>F2</f>
        <v>0</v>
      </c>
      <c r="I25" s="69" t="s">
        <v>66</v>
      </c>
      <c r="J25" s="69" t="s">
        <v>67</v>
      </c>
      <c r="K25" s="70" t="s">
        <v>68</v>
      </c>
      <c r="L25" s="71" t="s">
        <v>69</v>
      </c>
      <c r="M25" s="21" t="str">
        <f t="shared" si="1"/>
        <v/>
      </c>
      <c r="N25" s="61"/>
      <c r="O25" s="11">
        <v>-1500.0</v>
      </c>
      <c r="P25" s="27" t="str">
        <f t="shared" si="2"/>
        <v/>
      </c>
      <c r="Q25" s="32"/>
    </row>
    <row r="26" ht="15.75" customHeight="1">
      <c r="A26" s="2">
        <v>9.0</v>
      </c>
      <c r="B26" s="45"/>
      <c r="C26" s="4" t="str">
        <f t="shared" si="14"/>
        <v>HOA</v>
      </c>
      <c r="D26" s="63">
        <v>0.0</v>
      </c>
      <c r="E26" s="5">
        <f t="shared" si="15"/>
        <v>45530</v>
      </c>
      <c r="H26" s="41">
        <f>G2</f>
        <v>0</v>
      </c>
      <c r="I26" s="73">
        <f>G17+C3+F2-I15-M50+E11</f>
        <v>0</v>
      </c>
      <c r="J26" s="73">
        <f>G17+C3+C8+F2-M50</f>
        <v>0</v>
      </c>
      <c r="K26" s="74">
        <v>5000.0</v>
      </c>
      <c r="L26" s="75" t="str">
        <f>IF(I26 &lt;= 0, "Freeze Credit Spending","Spend Away")</f>
        <v>Freeze Credit Spending</v>
      </c>
      <c r="M26" s="21" t="str">
        <f t="shared" si="1"/>
        <v/>
      </c>
      <c r="N26" s="61"/>
      <c r="O26" s="11">
        <v>-1200.0</v>
      </c>
      <c r="P26" s="27" t="str">
        <f t="shared" si="2"/>
        <v/>
      </c>
      <c r="Q26" s="32"/>
    </row>
    <row r="27" ht="15.75" customHeight="1">
      <c r="A27" s="2">
        <v>10.0</v>
      </c>
      <c r="B27" s="45"/>
      <c r="C27" s="4" t="str">
        <f t="shared" ref="C27:C29" si="16">B6</f>
        <v>Vacation Savings</v>
      </c>
      <c r="D27" s="63">
        <v>0.0</v>
      </c>
      <c r="E27" s="5">
        <f t="shared" si="15"/>
        <v>45530</v>
      </c>
      <c r="G27" s="16" t="s">
        <v>70</v>
      </c>
      <c r="H27" s="24">
        <f>SUM(H25:H26)</f>
        <v>0</v>
      </c>
      <c r="I27" s="37"/>
      <c r="J27" s="73"/>
      <c r="K27" s="11"/>
      <c r="L27" s="11"/>
      <c r="M27" s="21" t="str">
        <f t="shared" si="1"/>
        <v/>
      </c>
      <c r="N27" s="61"/>
      <c r="O27" s="11">
        <v>-900.0</v>
      </c>
      <c r="P27" s="27" t="str">
        <f t="shared" si="2"/>
        <v/>
      </c>
      <c r="Q27" s="32"/>
    </row>
    <row r="28" ht="15.75" customHeight="1">
      <c r="A28" s="4" t="s">
        <v>71</v>
      </c>
      <c r="B28" s="45"/>
      <c r="C28" s="4" t="str">
        <f t="shared" si="16"/>
        <v>Emergency Savings</v>
      </c>
      <c r="D28" s="24">
        <v>0.0</v>
      </c>
      <c r="E28" s="5">
        <f t="shared" si="15"/>
        <v>45530</v>
      </c>
      <c r="G28" s="11" t="s">
        <v>72</v>
      </c>
      <c r="H28" s="24">
        <f>H27-D30</f>
        <v>0</v>
      </c>
      <c r="I28" s="37"/>
      <c r="J28" s="14"/>
      <c r="K28" s="11"/>
      <c r="L28" s="11"/>
      <c r="M28" s="21" t="str">
        <f t="shared" si="1"/>
        <v/>
      </c>
      <c r="N28" s="61"/>
      <c r="O28" s="11">
        <v>-600.0</v>
      </c>
      <c r="P28" s="27" t="str">
        <f t="shared" si="2"/>
        <v/>
      </c>
      <c r="Q28" s="32"/>
    </row>
    <row r="29" ht="15.75" customHeight="1">
      <c r="A29" s="4"/>
      <c r="B29" s="45"/>
      <c r="C29" s="4" t="str">
        <f t="shared" si="16"/>
        <v>Boost Savings</v>
      </c>
      <c r="D29" s="24">
        <v>0.0</v>
      </c>
      <c r="E29" s="5">
        <f>F$19</f>
        <v>45530</v>
      </c>
      <c r="G29" s="2" t="s">
        <v>73</v>
      </c>
      <c r="H29" s="24">
        <f>H27+G17</f>
        <v>0</v>
      </c>
      <c r="I29" s="11"/>
      <c r="J29" s="14"/>
      <c r="K29" s="11"/>
      <c r="L29" s="11"/>
      <c r="M29" s="21" t="str">
        <f t="shared" si="1"/>
        <v/>
      </c>
      <c r="N29" s="61"/>
      <c r="O29" s="11">
        <v>-300.0</v>
      </c>
      <c r="P29" s="27" t="str">
        <f t="shared" si="2"/>
        <v/>
      </c>
      <c r="Q29" s="32"/>
    </row>
    <row r="30" ht="15.75" customHeight="1">
      <c r="C30" s="4" t="s">
        <v>70</v>
      </c>
      <c r="D30" s="24">
        <f>SUM(D25:D28)</f>
        <v>0</v>
      </c>
      <c r="H30" s="11"/>
      <c r="I30" s="11"/>
      <c r="J30" s="14"/>
      <c r="K30" s="11"/>
      <c r="L30" s="11"/>
      <c r="M30" s="21" t="str">
        <f t="shared" si="1"/>
        <v/>
      </c>
      <c r="N30" s="61"/>
      <c r="O30" s="11">
        <v>0.0</v>
      </c>
      <c r="P30" s="27" t="str">
        <f t="shared" si="2"/>
        <v/>
      </c>
      <c r="Q30" s="32"/>
    </row>
    <row r="31" ht="15.75" customHeight="1">
      <c r="C31" s="4"/>
      <c r="D31" s="11"/>
      <c r="H31" s="11"/>
      <c r="I31" s="11"/>
      <c r="J31" s="14"/>
      <c r="K31" s="11"/>
      <c r="L31" s="11"/>
      <c r="M31" s="11"/>
      <c r="N31" s="11"/>
      <c r="O31" s="11"/>
      <c r="P31" s="11"/>
      <c r="Q31" s="11"/>
    </row>
    <row r="32" ht="15.75" customHeight="1">
      <c r="H32" s="11"/>
      <c r="I32" s="11"/>
      <c r="J32" s="14"/>
      <c r="K32" s="11"/>
      <c r="L32" s="11"/>
      <c r="M32" s="11"/>
      <c r="N32" s="11"/>
      <c r="O32" s="11"/>
      <c r="P32" s="11"/>
      <c r="Q32" s="11"/>
      <c r="W32" s="11"/>
    </row>
    <row r="33" ht="15.75" customHeight="1">
      <c r="B33" s="4" t="s">
        <v>74</v>
      </c>
      <c r="C33" s="16" t="s">
        <v>75</v>
      </c>
      <c r="D33" s="16" t="s">
        <v>76</v>
      </c>
      <c r="E33" s="16" t="s">
        <v>77</v>
      </c>
      <c r="F33" s="16" t="s">
        <v>78</v>
      </c>
      <c r="G33" s="17" t="s">
        <v>79</v>
      </c>
      <c r="H33" s="17" t="s">
        <v>80</v>
      </c>
      <c r="I33" s="17" t="s">
        <v>81</v>
      </c>
      <c r="J33" s="16"/>
      <c r="K33" s="16" t="s">
        <v>82</v>
      </c>
      <c r="L33" s="16" t="s">
        <v>83</v>
      </c>
      <c r="M33" s="60" t="s">
        <v>84</v>
      </c>
      <c r="N33" s="60" t="s">
        <v>85</v>
      </c>
      <c r="O33" s="79" t="s">
        <v>86</v>
      </c>
      <c r="P33" s="60" t="s">
        <v>87</v>
      </c>
      <c r="Q33" s="69" t="s">
        <v>88</v>
      </c>
      <c r="T33" s="10"/>
    </row>
    <row r="34" ht="15.75" customHeight="1">
      <c r="A34" s="80"/>
      <c r="B34" s="80"/>
      <c r="C34" s="67"/>
      <c r="D34" s="67"/>
      <c r="E34" s="67"/>
      <c r="F34" s="67"/>
      <c r="G34" s="81"/>
      <c r="H34" s="81"/>
      <c r="I34" s="81"/>
      <c r="J34" s="67"/>
      <c r="K34" s="67"/>
      <c r="L34" s="67"/>
      <c r="M34" s="60"/>
      <c r="N34" s="82">
        <f>I26</f>
        <v>0</v>
      </c>
      <c r="O34" s="37" t="str">
        <f>N34/Q50</f>
        <v>#DIV/0!</v>
      </c>
      <c r="P34" s="37" t="str">
        <f>O34/Q50</f>
        <v>#DIV/0!</v>
      </c>
      <c r="Q34" s="37" t="str">
        <f>P34/Q50</f>
        <v>#DIV/0!</v>
      </c>
    </row>
    <row r="35" ht="15.75" customHeight="1">
      <c r="A35" s="80" t="s">
        <v>8</v>
      </c>
      <c r="B35" s="83">
        <f>C$2</f>
        <v>45530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56">
        <f>SUM(C35:I35)</f>
        <v>0</v>
      </c>
      <c r="N35" s="85">
        <f>N34-M35</f>
        <v>0</v>
      </c>
      <c r="O35" s="85" t="str">
        <f t="shared" ref="O35:O48" si="17">O34-M35/Q$50</f>
        <v>#DIV/0!</v>
      </c>
      <c r="P35" s="85" t="str">
        <f t="shared" ref="P35:P48" si="18">P34-M35/Q$50</f>
        <v>#DIV/0!</v>
      </c>
      <c r="Q35" s="85" t="str">
        <f t="shared" ref="Q35:Q48" si="19">Q34-M35/Q$50</f>
        <v>#DIV/0!</v>
      </c>
    </row>
    <row r="36" ht="15.75" customHeight="1">
      <c r="A36" s="80" t="s">
        <v>89</v>
      </c>
      <c r="B36" s="83">
        <f>C$2+1</f>
        <v>45531</v>
      </c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56">
        <f t="shared" ref="M36:M48" si="20">SUM(C36:L36)</f>
        <v>0</v>
      </c>
      <c r="N36" s="85" t="str">
        <f t="shared" ref="N36:N48" si="21">N35-M36/Q$50</f>
        <v>#DIV/0!</v>
      </c>
      <c r="O36" s="85" t="str">
        <f t="shared" si="17"/>
        <v>#DIV/0!</v>
      </c>
      <c r="P36" s="85" t="str">
        <f t="shared" si="18"/>
        <v>#DIV/0!</v>
      </c>
      <c r="Q36" s="85" t="str">
        <f t="shared" si="19"/>
        <v>#DIV/0!</v>
      </c>
    </row>
    <row r="37" ht="15.75" customHeight="1">
      <c r="A37" s="80" t="s">
        <v>90</v>
      </c>
      <c r="B37" s="83">
        <f>C$2+3</f>
        <v>45533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56">
        <f t="shared" si="20"/>
        <v>0</v>
      </c>
      <c r="N37" s="85" t="str">
        <f t="shared" si="21"/>
        <v>#DIV/0!</v>
      </c>
      <c r="O37" s="85" t="str">
        <f t="shared" si="17"/>
        <v>#DIV/0!</v>
      </c>
      <c r="P37" s="85" t="str">
        <f t="shared" si="18"/>
        <v>#DIV/0!</v>
      </c>
      <c r="Q37" s="85" t="str">
        <f t="shared" si="19"/>
        <v>#DIV/0!</v>
      </c>
    </row>
    <row r="38" ht="15.75" customHeight="1">
      <c r="A38" s="80" t="s">
        <v>91</v>
      </c>
      <c r="B38" s="83">
        <f>C$2+4</f>
        <v>45534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56">
        <f t="shared" si="20"/>
        <v>0</v>
      </c>
      <c r="N38" s="85" t="str">
        <f t="shared" si="21"/>
        <v>#DIV/0!</v>
      </c>
      <c r="O38" s="85" t="str">
        <f t="shared" si="17"/>
        <v>#DIV/0!</v>
      </c>
      <c r="P38" s="85" t="str">
        <f t="shared" si="18"/>
        <v>#DIV/0!</v>
      </c>
      <c r="Q38" s="85" t="str">
        <f t="shared" si="19"/>
        <v>#DIV/0!</v>
      </c>
    </row>
    <row r="39" ht="15.75" customHeight="1">
      <c r="A39" s="80" t="s">
        <v>92</v>
      </c>
      <c r="B39" s="83">
        <f>C$2+5</f>
        <v>45535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56">
        <f t="shared" si="20"/>
        <v>0</v>
      </c>
      <c r="N39" s="85" t="str">
        <f t="shared" si="21"/>
        <v>#DIV/0!</v>
      </c>
      <c r="O39" s="85" t="str">
        <f t="shared" si="17"/>
        <v>#DIV/0!</v>
      </c>
      <c r="P39" s="85" t="str">
        <f t="shared" si="18"/>
        <v>#DIV/0!</v>
      </c>
      <c r="Q39" s="85" t="str">
        <f t="shared" si="19"/>
        <v>#DIV/0!</v>
      </c>
    </row>
    <row r="40" ht="15.0" customHeight="1">
      <c r="A40" s="80" t="s">
        <v>93</v>
      </c>
      <c r="B40" s="83">
        <f>C$2+6</f>
        <v>45536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56">
        <f t="shared" si="20"/>
        <v>0</v>
      </c>
      <c r="N40" s="85" t="str">
        <f t="shared" si="21"/>
        <v>#DIV/0!</v>
      </c>
      <c r="O40" s="85" t="str">
        <f t="shared" si="17"/>
        <v>#DIV/0!</v>
      </c>
      <c r="P40" s="85" t="str">
        <f t="shared" si="18"/>
        <v>#DIV/0!</v>
      </c>
      <c r="Q40" s="85" t="str">
        <f t="shared" si="19"/>
        <v>#DIV/0!</v>
      </c>
    </row>
    <row r="41" ht="12.0" customHeight="1">
      <c r="A41" s="80" t="s">
        <v>94</v>
      </c>
      <c r="B41" s="83">
        <f>C$2+7</f>
        <v>45537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56">
        <f t="shared" si="20"/>
        <v>0</v>
      </c>
      <c r="N41" s="85" t="str">
        <f t="shared" si="21"/>
        <v>#DIV/0!</v>
      </c>
      <c r="O41" s="85" t="str">
        <f t="shared" si="17"/>
        <v>#DIV/0!</v>
      </c>
      <c r="P41" s="85" t="str">
        <f t="shared" si="18"/>
        <v>#DIV/0!</v>
      </c>
      <c r="Q41" s="85" t="str">
        <f t="shared" si="19"/>
        <v>#DIV/0!</v>
      </c>
    </row>
    <row r="42" ht="15.75" customHeight="1">
      <c r="A42" s="80" t="s">
        <v>8</v>
      </c>
      <c r="B42" s="83">
        <f>C$2+8</f>
        <v>45538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56">
        <f t="shared" si="20"/>
        <v>0</v>
      </c>
      <c r="N42" s="85" t="str">
        <f t="shared" si="21"/>
        <v>#DIV/0!</v>
      </c>
      <c r="O42" s="85" t="str">
        <f t="shared" si="17"/>
        <v>#DIV/0!</v>
      </c>
      <c r="P42" s="85" t="str">
        <f t="shared" si="18"/>
        <v>#DIV/0!</v>
      </c>
      <c r="Q42" s="85" t="str">
        <f t="shared" si="19"/>
        <v>#DIV/0!</v>
      </c>
    </row>
    <row r="43" ht="15.75" customHeight="1">
      <c r="A43" s="80" t="s">
        <v>89</v>
      </c>
      <c r="B43" s="83">
        <f>C$2+9</f>
        <v>45539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56">
        <f t="shared" si="20"/>
        <v>0</v>
      </c>
      <c r="N43" s="85" t="str">
        <f t="shared" si="21"/>
        <v>#DIV/0!</v>
      </c>
      <c r="O43" s="85" t="str">
        <f t="shared" si="17"/>
        <v>#DIV/0!</v>
      </c>
      <c r="P43" s="85" t="str">
        <f t="shared" si="18"/>
        <v>#DIV/0!</v>
      </c>
      <c r="Q43" s="85" t="str">
        <f t="shared" si="19"/>
        <v>#DIV/0!</v>
      </c>
    </row>
    <row r="44" ht="15.75" customHeight="1">
      <c r="A44" s="80" t="s">
        <v>90</v>
      </c>
      <c r="B44" s="83">
        <f>C$2+10</f>
        <v>45540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56">
        <f t="shared" si="20"/>
        <v>0</v>
      </c>
      <c r="N44" s="85" t="str">
        <f t="shared" si="21"/>
        <v>#DIV/0!</v>
      </c>
      <c r="O44" s="85" t="str">
        <f t="shared" si="17"/>
        <v>#DIV/0!</v>
      </c>
      <c r="P44" s="85" t="str">
        <f t="shared" si="18"/>
        <v>#DIV/0!</v>
      </c>
      <c r="Q44" s="85" t="str">
        <f t="shared" si="19"/>
        <v>#DIV/0!</v>
      </c>
    </row>
    <row r="45" ht="15.75" customHeight="1">
      <c r="A45" s="80" t="s">
        <v>91</v>
      </c>
      <c r="B45" s="83">
        <f>C$2+11</f>
        <v>45541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56">
        <f t="shared" si="20"/>
        <v>0</v>
      </c>
      <c r="N45" s="85" t="str">
        <f t="shared" si="21"/>
        <v>#DIV/0!</v>
      </c>
      <c r="O45" s="85" t="str">
        <f t="shared" si="17"/>
        <v>#DIV/0!</v>
      </c>
      <c r="P45" s="85" t="str">
        <f t="shared" si="18"/>
        <v>#DIV/0!</v>
      </c>
      <c r="Q45" s="85" t="str">
        <f t="shared" si="19"/>
        <v>#DIV/0!</v>
      </c>
    </row>
    <row r="46" ht="15.75" customHeight="1">
      <c r="A46" s="80" t="s">
        <v>92</v>
      </c>
      <c r="B46" s="83">
        <f>C$2+12</f>
        <v>45542</v>
      </c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56">
        <f t="shared" si="20"/>
        <v>0</v>
      </c>
      <c r="N46" s="85" t="str">
        <f t="shared" si="21"/>
        <v>#DIV/0!</v>
      </c>
      <c r="O46" s="85" t="str">
        <f t="shared" si="17"/>
        <v>#DIV/0!</v>
      </c>
      <c r="P46" s="85" t="str">
        <f t="shared" si="18"/>
        <v>#DIV/0!</v>
      </c>
      <c r="Q46" s="85" t="str">
        <f t="shared" si="19"/>
        <v>#DIV/0!</v>
      </c>
    </row>
    <row r="47" ht="15.75" customHeight="1">
      <c r="A47" s="80" t="s">
        <v>93</v>
      </c>
      <c r="B47" s="83">
        <f>C$2+13</f>
        <v>45543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56">
        <f t="shared" si="20"/>
        <v>0</v>
      </c>
      <c r="N47" s="85" t="str">
        <f t="shared" si="21"/>
        <v>#DIV/0!</v>
      </c>
      <c r="O47" s="85" t="str">
        <f t="shared" si="17"/>
        <v>#DIV/0!</v>
      </c>
      <c r="P47" s="85" t="str">
        <f t="shared" si="18"/>
        <v>#DIV/0!</v>
      </c>
      <c r="Q47" s="85" t="str">
        <f t="shared" si="19"/>
        <v>#DIV/0!</v>
      </c>
    </row>
    <row r="48" ht="15.75" customHeight="1">
      <c r="A48" s="80" t="s">
        <v>94</v>
      </c>
      <c r="B48" s="83">
        <f>C$2+14</f>
        <v>45544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56">
        <f t="shared" si="20"/>
        <v>0</v>
      </c>
      <c r="N48" s="85" t="str">
        <f t="shared" si="21"/>
        <v>#DIV/0!</v>
      </c>
      <c r="O48" s="85" t="str">
        <f t="shared" si="17"/>
        <v>#DIV/0!</v>
      </c>
      <c r="P48" s="85" t="str">
        <f t="shared" si="18"/>
        <v>#DIV/0!</v>
      </c>
      <c r="Q48" s="85" t="str">
        <f t="shared" si="19"/>
        <v>#DIV/0!</v>
      </c>
    </row>
    <row r="49" ht="15.75" customHeight="1">
      <c r="B49" s="15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1" t="s">
        <v>95</v>
      </c>
      <c r="O49" s="87" t="s">
        <v>96</v>
      </c>
      <c r="P49" s="16" t="s">
        <v>97</v>
      </c>
      <c r="Q49" s="11" t="s">
        <v>55</v>
      </c>
    </row>
    <row r="50" ht="15.75" customHeight="1">
      <c r="B50" s="4" t="s">
        <v>98</v>
      </c>
      <c r="C50" s="63">
        <f t="shared" ref="C50:D50" si="22">SUM(C35:C48)</f>
        <v>0</v>
      </c>
      <c r="D50" s="63">
        <f t="shared" si="22"/>
        <v>0</v>
      </c>
      <c r="E50" s="63">
        <f t="shared" ref="E50:L50" si="23">SUM(E36:E48)</f>
        <v>0</v>
      </c>
      <c r="F50" s="63">
        <f t="shared" si="23"/>
        <v>0</v>
      </c>
      <c r="G50" s="63">
        <f t="shared" si="23"/>
        <v>0</v>
      </c>
      <c r="H50" s="63">
        <f t="shared" si="23"/>
        <v>0</v>
      </c>
      <c r="I50" s="63">
        <f t="shared" si="23"/>
        <v>0</v>
      </c>
      <c r="J50" s="63">
        <f t="shared" si="23"/>
        <v>0</v>
      </c>
      <c r="K50" s="63">
        <f t="shared" si="23"/>
        <v>0</v>
      </c>
      <c r="L50" s="63">
        <f t="shared" si="23"/>
        <v>0</v>
      </c>
      <c r="M50" s="63">
        <f>SUM(M35:M48)</f>
        <v>0</v>
      </c>
      <c r="N50" s="88" t="str">
        <f>I26/H27</f>
        <v>#DIV/0!</v>
      </c>
      <c r="O50" s="37" t="str">
        <f>(N34-M50)/Q50</f>
        <v>#DIV/0!</v>
      </c>
      <c r="P50" s="88" t="str">
        <f>100% -N50</f>
        <v>#DIV/0!</v>
      </c>
      <c r="Q50" s="16">
        <f>G19</f>
        <v>0</v>
      </c>
    </row>
    <row r="51" ht="15.75" customHeight="1">
      <c r="J51" s="3"/>
      <c r="O51" s="16"/>
    </row>
    <row r="52" ht="15.75" customHeight="1">
      <c r="J52" s="3"/>
    </row>
    <row r="53" ht="15.75" customHeight="1">
      <c r="J53" s="3"/>
    </row>
    <row r="54" ht="15.75" customHeight="1">
      <c r="J54" s="3"/>
    </row>
    <row r="55" ht="15.75" customHeight="1">
      <c r="J55" s="3"/>
    </row>
    <row r="56" ht="15.75" customHeight="1">
      <c r="J56" s="3"/>
    </row>
    <row r="57" ht="15.75" customHeight="1">
      <c r="J57" s="3"/>
    </row>
    <row r="58" ht="15.75" customHeight="1">
      <c r="J58" s="3"/>
    </row>
    <row r="59" ht="15.75" customHeight="1">
      <c r="J59" s="3"/>
    </row>
    <row r="60" ht="15.75" customHeight="1">
      <c r="J60" s="3"/>
    </row>
    <row r="61" ht="15.75" customHeight="1">
      <c r="J61" s="3"/>
    </row>
    <row r="62" ht="15.75" customHeight="1">
      <c r="J62" s="3"/>
    </row>
    <row r="63" ht="15.75" customHeight="1">
      <c r="J63" s="3"/>
    </row>
    <row r="64" ht="15.75" customHeight="1">
      <c r="J64" s="3"/>
    </row>
    <row r="65" ht="15.75" customHeight="1">
      <c r="J65" s="3"/>
    </row>
    <row r="66" ht="15.75" customHeight="1">
      <c r="J66" s="3"/>
    </row>
    <row r="67" ht="15.75" customHeight="1">
      <c r="J67" s="3"/>
    </row>
    <row r="68" ht="15.75" customHeight="1">
      <c r="J68" s="3"/>
    </row>
    <row r="69" ht="15.75" customHeight="1">
      <c r="J69" s="3"/>
    </row>
    <row r="70" ht="15.75" customHeight="1">
      <c r="J70" s="3"/>
    </row>
    <row r="71" ht="15.75" customHeight="1">
      <c r="J71" s="3"/>
    </row>
    <row r="72" ht="15.75" customHeight="1">
      <c r="J72" s="3"/>
    </row>
    <row r="73" ht="15.75" customHeight="1">
      <c r="J73" s="3"/>
    </row>
    <row r="74" ht="15.75" customHeight="1">
      <c r="J74" s="3"/>
    </row>
    <row r="75" ht="15.75" customHeight="1">
      <c r="J75" s="3"/>
    </row>
    <row r="76" ht="15.75" customHeight="1">
      <c r="J76" s="3"/>
    </row>
    <row r="77" ht="15.75" customHeight="1">
      <c r="J77" s="3"/>
    </row>
    <row r="78" ht="15.75" customHeight="1">
      <c r="J78" s="3"/>
    </row>
    <row r="79" ht="15.75" customHeight="1">
      <c r="J79" s="3"/>
    </row>
    <row r="80" ht="15.75" customHeight="1">
      <c r="J80" s="3"/>
    </row>
    <row r="81" ht="15.75" customHeight="1">
      <c r="J81" s="3"/>
    </row>
    <row r="82" ht="15.75" customHeight="1">
      <c r="J82" s="3"/>
    </row>
    <row r="83" ht="15.75" customHeight="1">
      <c r="J83" s="3"/>
    </row>
    <row r="84" ht="15.75" customHeight="1">
      <c r="J84" s="3"/>
    </row>
    <row r="85" ht="15.75" customHeight="1">
      <c r="J85" s="3"/>
    </row>
    <row r="86" ht="15.75" customHeight="1">
      <c r="J86" s="3"/>
    </row>
    <row r="87" ht="15.75" customHeight="1">
      <c r="J87" s="3"/>
    </row>
    <row r="88" ht="15.75" customHeight="1">
      <c r="J88" s="3"/>
    </row>
    <row r="89" ht="15.75" customHeight="1">
      <c r="J89" s="3"/>
    </row>
    <row r="90" ht="15.75" customHeight="1">
      <c r="J90" s="3"/>
    </row>
    <row r="91" ht="15.75" customHeight="1">
      <c r="J91" s="3"/>
    </row>
    <row r="92" ht="15.75" customHeight="1">
      <c r="J92" s="3"/>
    </row>
    <row r="93" ht="15.75" customHeight="1">
      <c r="J93" s="3"/>
    </row>
    <row r="94" ht="15.75" customHeight="1">
      <c r="J94" s="3"/>
    </row>
    <row r="95" ht="15.75" customHeight="1">
      <c r="J95" s="3"/>
    </row>
    <row r="96" ht="15.75" customHeight="1">
      <c r="J96" s="3"/>
    </row>
    <row r="97" ht="15.75" customHeight="1">
      <c r="J97" s="3"/>
    </row>
    <row r="98" ht="15.75" customHeight="1">
      <c r="J98" s="3"/>
    </row>
    <row r="99" ht="15.75" customHeight="1">
      <c r="J99" s="3"/>
    </row>
    <row r="100" ht="15.75" customHeight="1">
      <c r="J100" s="3"/>
    </row>
    <row r="101" ht="15.75" customHeight="1">
      <c r="J101" s="3"/>
    </row>
    <row r="102" ht="15.75" customHeight="1">
      <c r="J102" s="3"/>
    </row>
    <row r="103" ht="15.75" customHeight="1">
      <c r="J103" s="3"/>
    </row>
    <row r="104" ht="15.75" customHeight="1">
      <c r="J104" s="3"/>
    </row>
    <row r="105" ht="15.75" customHeight="1">
      <c r="J105" s="3"/>
    </row>
    <row r="106" ht="15.75" customHeight="1">
      <c r="J106" s="3"/>
    </row>
    <row r="107" ht="15.75" customHeight="1">
      <c r="J107" s="3"/>
    </row>
    <row r="108" ht="15.75" customHeight="1">
      <c r="J108" s="3"/>
    </row>
    <row r="109" ht="15.75" customHeight="1">
      <c r="J109" s="3"/>
    </row>
    <row r="110" ht="15.75" customHeight="1">
      <c r="J110" s="3"/>
    </row>
    <row r="111" ht="15.75" customHeight="1">
      <c r="J111" s="3"/>
    </row>
    <row r="112" ht="15.75" customHeight="1">
      <c r="J112" s="3"/>
    </row>
    <row r="113" ht="15.75" customHeight="1">
      <c r="J113" s="3"/>
    </row>
    <row r="114" ht="15.75" customHeight="1">
      <c r="J114" s="3"/>
    </row>
    <row r="115" ht="15.75" customHeight="1">
      <c r="J115" s="3"/>
    </row>
    <row r="116" ht="15.75" customHeight="1">
      <c r="J116" s="3"/>
    </row>
    <row r="117" ht="15.75" customHeight="1">
      <c r="J117" s="3"/>
    </row>
    <row r="118" ht="15.75" customHeight="1">
      <c r="J118" s="3"/>
    </row>
    <row r="119" ht="15.75" customHeight="1">
      <c r="J119" s="3"/>
    </row>
    <row r="120" ht="15.75" customHeight="1">
      <c r="J120" s="3"/>
    </row>
    <row r="121" ht="15.75" customHeight="1">
      <c r="J121" s="3"/>
    </row>
    <row r="122" ht="15.75" customHeight="1">
      <c r="J122" s="3"/>
    </row>
    <row r="123" ht="15.75" customHeight="1">
      <c r="J123" s="3"/>
    </row>
    <row r="124" ht="15.75" customHeight="1">
      <c r="J124" s="3"/>
    </row>
    <row r="125" ht="15.75" customHeight="1">
      <c r="J125" s="3"/>
    </row>
    <row r="126" ht="15.75" customHeight="1">
      <c r="J126" s="3"/>
    </row>
    <row r="127" ht="15.75" customHeight="1">
      <c r="J127" s="3"/>
    </row>
    <row r="128" ht="15.75" customHeight="1">
      <c r="J128" s="3"/>
    </row>
    <row r="129" ht="15.75" customHeight="1">
      <c r="J129" s="3"/>
    </row>
    <row r="130" ht="15.75" customHeight="1">
      <c r="J130" s="3"/>
    </row>
    <row r="131" ht="15.75" customHeight="1">
      <c r="J131" s="3"/>
    </row>
    <row r="132" ht="15.75" customHeight="1">
      <c r="J132" s="3"/>
    </row>
    <row r="133" ht="15.75" customHeight="1">
      <c r="J133" s="3"/>
    </row>
    <row r="134" ht="15.75" customHeight="1">
      <c r="J134" s="3"/>
    </row>
    <row r="135" ht="15.75" customHeight="1">
      <c r="J135" s="3"/>
    </row>
    <row r="136" ht="15.75" customHeight="1">
      <c r="J136" s="3"/>
    </row>
    <row r="137" ht="15.75" customHeight="1">
      <c r="J137" s="3"/>
    </row>
    <row r="138" ht="15.75" customHeight="1">
      <c r="J138" s="3"/>
    </row>
    <row r="139" ht="15.75" customHeight="1">
      <c r="J139" s="3"/>
    </row>
    <row r="140" ht="15.75" customHeight="1">
      <c r="J140" s="3"/>
    </row>
    <row r="141" ht="15.75" customHeight="1">
      <c r="J141" s="3"/>
    </row>
    <row r="142" ht="15.75" customHeight="1">
      <c r="J142" s="3"/>
    </row>
    <row r="143" ht="15.75" customHeight="1">
      <c r="J143" s="3"/>
    </row>
    <row r="144" ht="15.75" customHeight="1">
      <c r="J144" s="3"/>
    </row>
    <row r="145" ht="15.75" customHeight="1">
      <c r="J145" s="3"/>
    </row>
    <row r="146" ht="15.75" customHeight="1">
      <c r="J146" s="3"/>
    </row>
    <row r="147" ht="15.75" customHeight="1">
      <c r="J147" s="3"/>
    </row>
    <row r="148" ht="15.75" customHeight="1">
      <c r="J148" s="3"/>
    </row>
    <row r="149" ht="15.75" customHeight="1">
      <c r="J149" s="3"/>
    </row>
    <row r="150" ht="15.75" customHeight="1">
      <c r="J150" s="3"/>
    </row>
    <row r="151" ht="15.75" customHeight="1">
      <c r="J151" s="3"/>
    </row>
    <row r="152" ht="15.75" customHeight="1">
      <c r="J152" s="3"/>
    </row>
    <row r="153" ht="15.75" customHeight="1">
      <c r="J153" s="3"/>
    </row>
    <row r="154" ht="15.75" customHeight="1">
      <c r="J154" s="3"/>
    </row>
    <row r="155" ht="15.75" customHeight="1">
      <c r="J155" s="3"/>
    </row>
    <row r="156" ht="15.75" customHeight="1">
      <c r="J156" s="3"/>
    </row>
    <row r="157" ht="15.75" customHeight="1">
      <c r="J157" s="3"/>
    </row>
    <row r="158" ht="15.75" customHeight="1">
      <c r="J158" s="3"/>
    </row>
    <row r="159" ht="15.75" customHeight="1">
      <c r="J159" s="3"/>
    </row>
    <row r="160" ht="15.75" customHeight="1">
      <c r="J160" s="3"/>
    </row>
    <row r="161" ht="15.75" customHeight="1">
      <c r="J161" s="3"/>
    </row>
    <row r="162" ht="15.75" customHeight="1">
      <c r="J162" s="3"/>
    </row>
    <row r="163" ht="15.75" customHeight="1">
      <c r="J163" s="3"/>
    </row>
    <row r="164" ht="15.75" customHeight="1">
      <c r="J164" s="3"/>
    </row>
    <row r="165" ht="15.75" customHeight="1">
      <c r="J165" s="3"/>
    </row>
    <row r="166" ht="15.75" customHeight="1">
      <c r="J166" s="3"/>
    </row>
    <row r="167" ht="15.75" customHeight="1">
      <c r="J167" s="3"/>
    </row>
    <row r="168" ht="15.75" customHeight="1">
      <c r="J168" s="3"/>
    </row>
    <row r="169" ht="15.75" customHeight="1">
      <c r="J169" s="3"/>
    </row>
    <row r="170" ht="15.75" customHeight="1">
      <c r="J170" s="3"/>
    </row>
    <row r="171" ht="15.75" customHeight="1">
      <c r="J171" s="3"/>
    </row>
    <row r="172" ht="15.75" customHeight="1">
      <c r="J172" s="3"/>
    </row>
    <row r="173" ht="15.75" customHeight="1">
      <c r="J173" s="3"/>
    </row>
    <row r="174" ht="15.75" customHeight="1">
      <c r="J174" s="3"/>
    </row>
    <row r="175" ht="15.75" customHeight="1">
      <c r="J175" s="3"/>
    </row>
    <row r="176" ht="15.75" customHeight="1">
      <c r="J176" s="3"/>
    </row>
    <row r="177" ht="15.75" customHeight="1">
      <c r="J177" s="3"/>
    </row>
    <row r="178" ht="15.75" customHeight="1">
      <c r="J178" s="3"/>
    </row>
    <row r="179" ht="15.75" customHeight="1">
      <c r="J179" s="3"/>
    </row>
    <row r="180" ht="15.75" customHeight="1">
      <c r="J180" s="3"/>
    </row>
    <row r="181" ht="15.75" customHeight="1">
      <c r="J181" s="3"/>
    </row>
    <row r="182" ht="15.75" customHeight="1">
      <c r="J182" s="3"/>
    </row>
    <row r="183" ht="15.75" customHeight="1">
      <c r="J183" s="3"/>
    </row>
    <row r="184" ht="15.75" customHeight="1">
      <c r="J184" s="3"/>
    </row>
    <row r="185" ht="15.75" customHeight="1">
      <c r="J185" s="3"/>
    </row>
    <row r="186" ht="15.75" customHeight="1">
      <c r="J186" s="3"/>
    </row>
    <row r="187" ht="15.75" customHeight="1">
      <c r="J187" s="3"/>
    </row>
    <row r="188" ht="15.75" customHeight="1">
      <c r="J188" s="3"/>
    </row>
    <row r="189" ht="15.75" customHeight="1">
      <c r="J189" s="3"/>
    </row>
    <row r="190" ht="15.75" customHeight="1">
      <c r="J190" s="3"/>
    </row>
    <row r="191" ht="15.75" customHeight="1">
      <c r="J191" s="3"/>
    </row>
    <row r="192" ht="15.75" customHeight="1">
      <c r="J192" s="3"/>
    </row>
    <row r="193" ht="15.75" customHeight="1">
      <c r="J193" s="3"/>
    </row>
    <row r="194" ht="15.75" customHeight="1">
      <c r="J194" s="3"/>
    </row>
    <row r="195" ht="15.75" customHeight="1">
      <c r="J195" s="3"/>
    </row>
    <row r="196" ht="15.75" customHeight="1">
      <c r="J196" s="3"/>
    </row>
    <row r="197" ht="15.75" customHeight="1">
      <c r="J197" s="3"/>
    </row>
    <row r="198" ht="15.75" customHeight="1">
      <c r="J198" s="3"/>
    </row>
    <row r="199" ht="15.75" customHeight="1">
      <c r="J199" s="3"/>
    </row>
    <row r="200" ht="15.75" customHeight="1">
      <c r="J200" s="3"/>
    </row>
    <row r="201" ht="15.75" customHeight="1">
      <c r="J201" s="3"/>
    </row>
    <row r="202" ht="15.75" customHeight="1">
      <c r="J202" s="3"/>
    </row>
    <row r="203" ht="15.75" customHeight="1">
      <c r="J203" s="3"/>
    </row>
    <row r="204" ht="15.75" customHeight="1">
      <c r="J204" s="3"/>
    </row>
    <row r="205" ht="15.75" customHeight="1">
      <c r="J205" s="3"/>
    </row>
    <row r="206" ht="15.75" customHeight="1">
      <c r="J206" s="3"/>
    </row>
    <row r="207" ht="15.75" customHeight="1">
      <c r="J207" s="3"/>
    </row>
    <row r="208" ht="15.75" customHeight="1">
      <c r="J208" s="3"/>
    </row>
    <row r="209" ht="15.75" customHeight="1">
      <c r="J209" s="3"/>
    </row>
    <row r="210" ht="15.75" customHeight="1">
      <c r="J210" s="3"/>
    </row>
    <row r="211" ht="15.75" customHeight="1">
      <c r="J211" s="3"/>
    </row>
    <row r="212" ht="15.75" customHeight="1">
      <c r="J212" s="3"/>
    </row>
    <row r="213" ht="15.75" customHeight="1">
      <c r="J213" s="3"/>
    </row>
    <row r="214" ht="15.75" customHeight="1">
      <c r="J214" s="3"/>
    </row>
    <row r="215" ht="15.75" customHeight="1">
      <c r="J215" s="3"/>
    </row>
    <row r="216" ht="15.75" customHeight="1">
      <c r="J216" s="3"/>
    </row>
    <row r="217" ht="15.75" customHeight="1">
      <c r="J217" s="3"/>
    </row>
    <row r="218" ht="15.75" customHeight="1">
      <c r="J218" s="3"/>
    </row>
    <row r="219" ht="15.75" customHeight="1">
      <c r="J219" s="3"/>
    </row>
    <row r="220" ht="15.75" customHeight="1">
      <c r="J220" s="3"/>
    </row>
    <row r="221" ht="15.75" customHeight="1">
      <c r="J221" s="3"/>
    </row>
    <row r="222" ht="15.75" customHeight="1">
      <c r="J222" s="3"/>
    </row>
    <row r="223" ht="15.75" customHeight="1">
      <c r="J223" s="3"/>
    </row>
    <row r="224" ht="15.75" customHeight="1">
      <c r="J224" s="3"/>
    </row>
    <row r="225" ht="15.75" customHeight="1">
      <c r="J225" s="3"/>
    </row>
    <row r="226" ht="15.75" customHeight="1">
      <c r="J226" s="3"/>
    </row>
    <row r="227" ht="15.75" customHeight="1">
      <c r="J227" s="3"/>
    </row>
    <row r="228" ht="15.75" customHeight="1">
      <c r="J228" s="3"/>
    </row>
    <row r="229" ht="15.75" customHeight="1">
      <c r="J229" s="3"/>
    </row>
    <row r="230" ht="15.75" customHeight="1">
      <c r="J230" s="3"/>
    </row>
    <row r="231" ht="15.75" customHeight="1">
      <c r="J231" s="3"/>
    </row>
    <row r="232" ht="15.75" customHeight="1">
      <c r="J232" s="3"/>
    </row>
    <row r="233" ht="15.75" customHeight="1">
      <c r="J233" s="3"/>
    </row>
    <row r="234" ht="15.75" customHeight="1">
      <c r="J234" s="3"/>
    </row>
    <row r="235" ht="15.75" customHeight="1">
      <c r="J235" s="3"/>
    </row>
    <row r="236" ht="15.75" customHeight="1">
      <c r="J236" s="3"/>
    </row>
    <row r="237" ht="15.75" customHeight="1">
      <c r="J237" s="3"/>
    </row>
    <row r="238" ht="15.75" customHeight="1">
      <c r="J238" s="3"/>
    </row>
    <row r="239" ht="15.75" customHeight="1">
      <c r="J239" s="3"/>
    </row>
    <row r="240" ht="15.75" customHeight="1">
      <c r="J240" s="3"/>
    </row>
    <row r="241" ht="15.75" customHeight="1">
      <c r="J241" s="3"/>
    </row>
    <row r="242" ht="15.75" customHeight="1">
      <c r="J242" s="3"/>
    </row>
    <row r="243" ht="15.75" customHeight="1">
      <c r="J243" s="3"/>
    </row>
    <row r="244" ht="15.75" customHeight="1">
      <c r="J244" s="3"/>
    </row>
    <row r="245" ht="15.75" customHeight="1">
      <c r="J245" s="3"/>
    </row>
    <row r="246" ht="15.75" customHeight="1">
      <c r="J246" s="3"/>
    </row>
    <row r="247" ht="15.75" customHeight="1">
      <c r="J247" s="3"/>
    </row>
    <row r="248" ht="15.75" customHeight="1">
      <c r="J248" s="3"/>
    </row>
    <row r="249" ht="15.75" customHeight="1">
      <c r="J249" s="3"/>
    </row>
    <row r="250" ht="15.75" customHeight="1">
      <c r="J250" s="3"/>
    </row>
    <row r="251" ht="15.75" customHeight="1">
      <c r="J251" s="3"/>
    </row>
    <row r="252" ht="15.75" customHeight="1">
      <c r="J252" s="3"/>
    </row>
    <row r="253" ht="15.75" customHeight="1">
      <c r="J253" s="3"/>
    </row>
    <row r="254" ht="15.75" customHeight="1">
      <c r="J254" s="3"/>
    </row>
    <row r="255" ht="15.75" customHeight="1">
      <c r="J255" s="3"/>
    </row>
    <row r="256" ht="15.75" customHeight="1">
      <c r="J256" s="3"/>
    </row>
    <row r="257" ht="15.75" customHeight="1">
      <c r="J257" s="3"/>
    </row>
    <row r="258" ht="15.75" customHeight="1">
      <c r="J258" s="3"/>
    </row>
    <row r="259" ht="15.75" customHeight="1">
      <c r="J259" s="3"/>
    </row>
    <row r="260" ht="15.75" customHeight="1">
      <c r="J260" s="3"/>
    </row>
    <row r="261" ht="15.75" customHeight="1">
      <c r="J261" s="3"/>
    </row>
    <row r="262" ht="15.75" customHeight="1">
      <c r="J262" s="3"/>
    </row>
    <row r="263" ht="15.75" customHeight="1">
      <c r="J263" s="3"/>
    </row>
    <row r="264" ht="15.75" customHeight="1">
      <c r="J264" s="3"/>
    </row>
    <row r="265" ht="15.75" customHeight="1">
      <c r="J265" s="3"/>
    </row>
    <row r="266" ht="15.75" customHeight="1">
      <c r="J266" s="3"/>
    </row>
    <row r="267" ht="15.75" customHeight="1">
      <c r="J267" s="3"/>
    </row>
    <row r="268" ht="15.75" customHeight="1">
      <c r="J268" s="3"/>
    </row>
    <row r="269" ht="15.75" customHeight="1">
      <c r="J269" s="3"/>
    </row>
    <row r="270" ht="15.75" customHeight="1">
      <c r="J270" s="3"/>
    </row>
    <row r="271" ht="15.75" customHeight="1">
      <c r="J271" s="3"/>
    </row>
    <row r="272" ht="15.75" customHeight="1">
      <c r="J272" s="3"/>
    </row>
    <row r="273" ht="15.75" customHeight="1">
      <c r="J273" s="3"/>
    </row>
    <row r="274" ht="15.75" customHeight="1">
      <c r="J274" s="3"/>
    </row>
    <row r="275" ht="15.75" customHeight="1">
      <c r="J275" s="3"/>
    </row>
    <row r="276" ht="15.75" customHeight="1">
      <c r="J276" s="3"/>
    </row>
    <row r="277" ht="15.75" customHeight="1">
      <c r="J277" s="3"/>
    </row>
    <row r="278" ht="15.75" customHeight="1">
      <c r="J278" s="3"/>
    </row>
    <row r="279" ht="15.75" customHeight="1">
      <c r="J279" s="3"/>
    </row>
    <row r="280" ht="15.75" customHeight="1">
      <c r="J280" s="3"/>
    </row>
    <row r="281" ht="15.75" customHeight="1">
      <c r="J281" s="3"/>
    </row>
    <row r="282" ht="15.75" customHeight="1">
      <c r="J282" s="3"/>
    </row>
    <row r="283" ht="15.75" customHeight="1">
      <c r="J283" s="3"/>
    </row>
    <row r="284" ht="15.75" customHeight="1">
      <c r="J284" s="3"/>
    </row>
    <row r="285" ht="15.75" customHeight="1">
      <c r="J285" s="3"/>
    </row>
    <row r="286" ht="15.75" customHeight="1">
      <c r="J286" s="3"/>
    </row>
    <row r="287" ht="15.75" customHeight="1">
      <c r="J287" s="3"/>
    </row>
    <row r="288" ht="15.75" customHeight="1">
      <c r="J288" s="3"/>
    </row>
    <row r="289" ht="15.75" customHeight="1">
      <c r="J289" s="3"/>
    </row>
    <row r="290" ht="15.75" customHeight="1">
      <c r="J290" s="3"/>
    </row>
    <row r="291" ht="15.75" customHeight="1">
      <c r="J291" s="3"/>
    </row>
    <row r="292" ht="15.75" customHeight="1">
      <c r="J292" s="3"/>
    </row>
    <row r="293" ht="15.75" customHeight="1">
      <c r="J293" s="3"/>
    </row>
    <row r="294" ht="15.75" customHeight="1">
      <c r="J294" s="3"/>
    </row>
    <row r="295" ht="15.75" customHeight="1">
      <c r="J295" s="3"/>
    </row>
    <row r="296" ht="15.75" customHeight="1">
      <c r="J296" s="3"/>
    </row>
    <row r="297" ht="15.75" customHeight="1">
      <c r="J297" s="3"/>
    </row>
    <row r="298" ht="15.75" customHeight="1">
      <c r="J298" s="3"/>
    </row>
    <row r="299" ht="15.75" customHeight="1">
      <c r="J299" s="3"/>
    </row>
    <row r="300" ht="15.75" customHeight="1">
      <c r="J300" s="3"/>
    </row>
    <row r="301" ht="15.75" customHeight="1">
      <c r="J301" s="3"/>
    </row>
    <row r="302" ht="15.75" customHeight="1">
      <c r="J302" s="3"/>
    </row>
    <row r="303" ht="15.75" customHeight="1">
      <c r="J303" s="3"/>
    </row>
    <row r="304" ht="15.75" customHeight="1">
      <c r="J304" s="3"/>
    </row>
    <row r="305" ht="15.75" customHeight="1">
      <c r="J305" s="3"/>
    </row>
    <row r="306" ht="15.75" customHeight="1">
      <c r="J306" s="3"/>
    </row>
    <row r="307" ht="15.75" customHeight="1">
      <c r="J307" s="3"/>
    </row>
    <row r="308" ht="15.75" customHeight="1">
      <c r="J308" s="3"/>
    </row>
    <row r="309" ht="15.75" customHeight="1">
      <c r="J309" s="3"/>
    </row>
    <row r="310" ht="15.75" customHeight="1">
      <c r="J310" s="3"/>
    </row>
    <row r="311" ht="15.75" customHeight="1">
      <c r="J311" s="3"/>
    </row>
    <row r="312" ht="15.75" customHeight="1">
      <c r="J312" s="3"/>
    </row>
    <row r="313" ht="15.75" customHeight="1">
      <c r="J313" s="3"/>
    </row>
    <row r="314" ht="15.75" customHeight="1">
      <c r="J314" s="3"/>
    </row>
    <row r="315" ht="15.75" customHeight="1">
      <c r="J315" s="3"/>
    </row>
    <row r="316" ht="15.75" customHeight="1">
      <c r="J316" s="3"/>
    </row>
    <row r="317" ht="15.75" customHeight="1">
      <c r="J317" s="3"/>
    </row>
    <row r="318" ht="15.75" customHeight="1">
      <c r="J318" s="3"/>
    </row>
    <row r="319" ht="15.75" customHeight="1">
      <c r="J319" s="3"/>
    </row>
    <row r="320" ht="15.75" customHeight="1">
      <c r="J320" s="3"/>
    </row>
    <row r="321" ht="15.75" customHeight="1">
      <c r="J321" s="3"/>
    </row>
    <row r="322" ht="15.75" customHeight="1">
      <c r="J322" s="3"/>
    </row>
    <row r="323" ht="15.75" customHeight="1">
      <c r="J323" s="3"/>
    </row>
    <row r="324" ht="15.75" customHeight="1">
      <c r="J324" s="3"/>
    </row>
    <row r="325" ht="15.75" customHeight="1">
      <c r="J325" s="3"/>
    </row>
    <row r="326" ht="15.75" customHeight="1">
      <c r="J326" s="3"/>
    </row>
    <row r="327" ht="15.75" customHeight="1">
      <c r="J327" s="3"/>
    </row>
    <row r="328" ht="15.75" customHeight="1">
      <c r="J328" s="3"/>
    </row>
    <row r="329" ht="15.75" customHeight="1">
      <c r="J329" s="3"/>
    </row>
    <row r="330" ht="15.75" customHeight="1">
      <c r="J330" s="3"/>
    </row>
    <row r="331" ht="15.75" customHeight="1">
      <c r="J331" s="3"/>
    </row>
    <row r="332" ht="15.75" customHeight="1">
      <c r="J332" s="3"/>
    </row>
    <row r="333" ht="15.75" customHeight="1">
      <c r="J333" s="3"/>
    </row>
    <row r="334" ht="15.75" customHeight="1">
      <c r="J334" s="3"/>
    </row>
    <row r="335" ht="15.75" customHeight="1">
      <c r="J335" s="3"/>
    </row>
    <row r="336" ht="15.75" customHeight="1">
      <c r="J336" s="3"/>
    </row>
    <row r="337" ht="15.75" customHeight="1">
      <c r="J337" s="3"/>
    </row>
    <row r="338" ht="15.75" customHeight="1">
      <c r="J338" s="3"/>
    </row>
    <row r="339" ht="15.75" customHeight="1">
      <c r="J339" s="3"/>
    </row>
    <row r="340" ht="15.75" customHeight="1">
      <c r="J340" s="3"/>
    </row>
    <row r="341" ht="15.75" customHeight="1">
      <c r="J341" s="3"/>
    </row>
    <row r="342" ht="15.75" customHeight="1">
      <c r="J342" s="3"/>
    </row>
    <row r="343" ht="15.75" customHeight="1">
      <c r="J343" s="3"/>
    </row>
    <row r="344" ht="15.75" customHeight="1">
      <c r="J344" s="3"/>
    </row>
    <row r="345" ht="15.75" customHeight="1">
      <c r="J345" s="3"/>
    </row>
    <row r="346" ht="15.75" customHeight="1">
      <c r="J346" s="3"/>
    </row>
    <row r="347" ht="15.75" customHeight="1">
      <c r="J347" s="3"/>
    </row>
    <row r="348" ht="15.75" customHeight="1">
      <c r="J348" s="3"/>
    </row>
    <row r="349" ht="15.75" customHeight="1">
      <c r="J349" s="3"/>
    </row>
    <row r="350" ht="15.75" customHeight="1">
      <c r="J350" s="3"/>
    </row>
    <row r="351" ht="15.75" customHeight="1">
      <c r="J351" s="3"/>
    </row>
    <row r="352" ht="15.75" customHeight="1">
      <c r="J352" s="3"/>
    </row>
    <row r="353" ht="15.75" customHeight="1">
      <c r="J353" s="3"/>
    </row>
    <row r="354" ht="15.75" customHeight="1">
      <c r="J354" s="3"/>
    </row>
    <row r="355" ht="15.75" customHeight="1">
      <c r="J355" s="3"/>
    </row>
    <row r="356" ht="15.75" customHeight="1">
      <c r="J356" s="3"/>
    </row>
    <row r="357" ht="15.75" customHeight="1">
      <c r="J357" s="3"/>
    </row>
    <row r="358" ht="15.75" customHeight="1">
      <c r="J358" s="3"/>
    </row>
    <row r="359" ht="15.75" customHeight="1">
      <c r="J359" s="3"/>
    </row>
    <row r="360" ht="15.75" customHeight="1">
      <c r="J360" s="3"/>
    </row>
    <row r="361" ht="15.75" customHeight="1">
      <c r="J361" s="3"/>
    </row>
    <row r="362" ht="15.75" customHeight="1">
      <c r="J362" s="3"/>
    </row>
    <row r="363" ht="15.75" customHeight="1">
      <c r="J363" s="3"/>
    </row>
    <row r="364" ht="15.75" customHeight="1">
      <c r="J364" s="3"/>
    </row>
    <row r="365" ht="15.75" customHeight="1">
      <c r="J365" s="3"/>
    </row>
    <row r="366" ht="15.75" customHeight="1">
      <c r="J366" s="3"/>
    </row>
    <row r="367" ht="15.75" customHeight="1">
      <c r="J367" s="3"/>
    </row>
    <row r="368" ht="15.75" customHeight="1">
      <c r="J368" s="3"/>
    </row>
    <row r="369" ht="15.75" customHeight="1">
      <c r="J369" s="3"/>
    </row>
    <row r="370" ht="15.75" customHeight="1">
      <c r="J370" s="3"/>
    </row>
    <row r="371" ht="15.75" customHeight="1">
      <c r="J371" s="3"/>
    </row>
    <row r="372" ht="15.75" customHeight="1">
      <c r="J372" s="3"/>
    </row>
    <row r="373" ht="15.75" customHeight="1">
      <c r="J373" s="3"/>
    </row>
    <row r="374" ht="15.75" customHeight="1">
      <c r="J374" s="3"/>
    </row>
    <row r="375" ht="15.75" customHeight="1">
      <c r="J375" s="3"/>
    </row>
    <row r="376" ht="15.75" customHeight="1">
      <c r="J376" s="3"/>
    </row>
    <row r="377" ht="15.75" customHeight="1">
      <c r="J377" s="3"/>
    </row>
    <row r="378" ht="15.75" customHeight="1">
      <c r="J378" s="3"/>
    </row>
    <row r="379" ht="15.75" customHeight="1">
      <c r="J379" s="3"/>
    </row>
    <row r="380" ht="15.75" customHeight="1">
      <c r="J380" s="3"/>
    </row>
    <row r="381" ht="15.75" customHeight="1">
      <c r="J381" s="3"/>
    </row>
    <row r="382" ht="15.75" customHeight="1">
      <c r="J382" s="3"/>
    </row>
    <row r="383" ht="15.75" customHeight="1">
      <c r="J383" s="3"/>
    </row>
    <row r="384" ht="15.75" customHeight="1">
      <c r="J384" s="3"/>
    </row>
    <row r="385" ht="15.75" customHeight="1">
      <c r="J385" s="3"/>
    </row>
    <row r="386" ht="15.75" customHeight="1">
      <c r="J386" s="3"/>
    </row>
    <row r="387" ht="15.75" customHeight="1">
      <c r="J387" s="3"/>
    </row>
    <row r="388" ht="15.75" customHeight="1">
      <c r="J388" s="3"/>
    </row>
    <row r="389" ht="15.75" customHeight="1">
      <c r="J389" s="3"/>
    </row>
    <row r="390" ht="15.75" customHeight="1">
      <c r="J390" s="3"/>
    </row>
    <row r="391" ht="15.75" customHeight="1">
      <c r="J391" s="3"/>
    </row>
    <row r="392" ht="15.75" customHeight="1">
      <c r="J392" s="3"/>
    </row>
    <row r="393" ht="15.75" customHeight="1">
      <c r="J393" s="3"/>
    </row>
    <row r="394" ht="15.75" customHeight="1">
      <c r="J394" s="3"/>
    </row>
    <row r="395" ht="15.75" customHeight="1">
      <c r="J395" s="3"/>
    </row>
    <row r="396" ht="15.75" customHeight="1">
      <c r="J396" s="3"/>
    </row>
    <row r="397" ht="15.75" customHeight="1">
      <c r="J397" s="3"/>
    </row>
    <row r="398" ht="15.75" customHeight="1">
      <c r="J398" s="3"/>
    </row>
    <row r="399" ht="15.75" customHeight="1">
      <c r="J399" s="3"/>
    </row>
    <row r="400" ht="15.75" customHeight="1">
      <c r="J400" s="3"/>
    </row>
    <row r="401" ht="15.75" customHeight="1">
      <c r="J401" s="3"/>
    </row>
    <row r="402" ht="15.75" customHeight="1">
      <c r="J402" s="3"/>
    </row>
    <row r="403" ht="15.75" customHeight="1">
      <c r="J403" s="3"/>
    </row>
    <row r="404" ht="15.75" customHeight="1">
      <c r="J404" s="3"/>
    </row>
    <row r="405" ht="15.75" customHeight="1">
      <c r="J405" s="3"/>
    </row>
    <row r="406" ht="15.75" customHeight="1">
      <c r="J406" s="3"/>
    </row>
    <row r="407" ht="15.75" customHeight="1">
      <c r="J407" s="3"/>
    </row>
    <row r="408" ht="15.75" customHeight="1">
      <c r="J408" s="3"/>
    </row>
    <row r="409" ht="15.75" customHeight="1">
      <c r="J409" s="3"/>
    </row>
    <row r="410" ht="15.75" customHeight="1">
      <c r="J410" s="3"/>
    </row>
    <row r="411" ht="15.75" customHeight="1">
      <c r="J411" s="3"/>
    </row>
    <row r="412" ht="15.75" customHeight="1">
      <c r="J412" s="3"/>
    </row>
    <row r="413" ht="15.75" customHeight="1">
      <c r="J413" s="3"/>
    </row>
    <row r="414" ht="15.75" customHeight="1">
      <c r="J414" s="3"/>
    </row>
    <row r="415" ht="15.75" customHeight="1">
      <c r="J415" s="3"/>
    </row>
    <row r="416" ht="15.75" customHeight="1">
      <c r="J416" s="3"/>
    </row>
    <row r="417" ht="15.75" customHeight="1">
      <c r="J417" s="3"/>
    </row>
    <row r="418" ht="15.75" customHeight="1">
      <c r="J418" s="3"/>
    </row>
    <row r="419" ht="15.75" customHeight="1">
      <c r="J419" s="3"/>
    </row>
    <row r="420" ht="15.75" customHeight="1">
      <c r="J420" s="3"/>
    </row>
    <row r="421" ht="15.75" customHeight="1">
      <c r="J421" s="3"/>
    </row>
    <row r="422" ht="15.75" customHeight="1">
      <c r="J422" s="3"/>
    </row>
    <row r="423" ht="15.75" customHeight="1">
      <c r="J423" s="3"/>
    </row>
    <row r="424" ht="15.75" customHeight="1">
      <c r="J424" s="3"/>
    </row>
    <row r="425" ht="15.75" customHeight="1">
      <c r="J425" s="3"/>
    </row>
    <row r="426" ht="15.75" customHeight="1">
      <c r="J426" s="3"/>
    </row>
    <row r="427" ht="15.75" customHeight="1">
      <c r="J427" s="3"/>
    </row>
    <row r="428" ht="15.75" customHeight="1">
      <c r="J428" s="3"/>
    </row>
    <row r="429" ht="15.75" customHeight="1">
      <c r="J429" s="3"/>
    </row>
    <row r="430" ht="15.75" customHeight="1">
      <c r="J430" s="3"/>
    </row>
    <row r="431" ht="15.75" customHeight="1">
      <c r="J431" s="3"/>
    </row>
    <row r="432" ht="15.75" customHeight="1">
      <c r="J432" s="3"/>
    </row>
    <row r="433" ht="15.75" customHeight="1">
      <c r="J433" s="3"/>
    </row>
    <row r="434" ht="15.75" customHeight="1">
      <c r="J434" s="3"/>
    </row>
    <row r="435" ht="15.75" customHeight="1">
      <c r="J435" s="3"/>
    </row>
    <row r="436" ht="15.75" customHeight="1">
      <c r="J436" s="3"/>
    </row>
    <row r="437" ht="15.75" customHeight="1">
      <c r="J437" s="3"/>
    </row>
    <row r="438" ht="15.75" customHeight="1">
      <c r="J438" s="3"/>
    </row>
    <row r="439" ht="15.75" customHeight="1">
      <c r="J439" s="3"/>
    </row>
    <row r="440" ht="15.75" customHeight="1">
      <c r="J440" s="3"/>
    </row>
    <row r="441" ht="15.75" customHeight="1">
      <c r="J441" s="3"/>
    </row>
    <row r="442" ht="15.75" customHeight="1">
      <c r="J442" s="3"/>
    </row>
    <row r="443" ht="15.75" customHeight="1">
      <c r="J443" s="3"/>
    </row>
    <row r="444" ht="15.75" customHeight="1">
      <c r="J444" s="3"/>
    </row>
    <row r="445" ht="15.75" customHeight="1">
      <c r="J445" s="3"/>
    </row>
    <row r="446" ht="15.75" customHeight="1">
      <c r="J446" s="3"/>
    </row>
    <row r="447" ht="15.75" customHeight="1">
      <c r="J447" s="3"/>
    </row>
    <row r="448" ht="15.75" customHeight="1">
      <c r="J448" s="3"/>
    </row>
    <row r="449" ht="15.75" customHeight="1">
      <c r="J449" s="3"/>
    </row>
    <row r="450" ht="15.75" customHeight="1">
      <c r="J450" s="3"/>
    </row>
    <row r="451" ht="15.75" customHeight="1">
      <c r="J451" s="3"/>
    </row>
    <row r="452" ht="15.75" customHeight="1">
      <c r="J452" s="3"/>
    </row>
    <row r="453" ht="15.75" customHeight="1">
      <c r="J453" s="3"/>
    </row>
    <row r="454" ht="15.75" customHeight="1">
      <c r="J454" s="3"/>
    </row>
    <row r="455" ht="15.75" customHeight="1">
      <c r="J455" s="3"/>
    </row>
    <row r="456" ht="15.75" customHeight="1">
      <c r="J456" s="3"/>
    </row>
    <row r="457" ht="15.75" customHeight="1">
      <c r="J457" s="3"/>
    </row>
    <row r="458" ht="15.75" customHeight="1">
      <c r="J458" s="3"/>
    </row>
    <row r="459" ht="15.75" customHeight="1">
      <c r="J459" s="3"/>
    </row>
    <row r="460" ht="15.75" customHeight="1">
      <c r="J460" s="3"/>
    </row>
    <row r="461" ht="15.75" customHeight="1">
      <c r="J461" s="3"/>
    </row>
    <row r="462" ht="15.75" customHeight="1">
      <c r="J462" s="3"/>
    </row>
    <row r="463" ht="15.75" customHeight="1">
      <c r="J463" s="3"/>
    </row>
    <row r="464" ht="15.75" customHeight="1">
      <c r="J464" s="3"/>
    </row>
    <row r="465" ht="15.75" customHeight="1">
      <c r="J465" s="3"/>
    </row>
    <row r="466" ht="15.75" customHeight="1">
      <c r="J466" s="3"/>
    </row>
    <row r="467" ht="15.75" customHeight="1">
      <c r="J467" s="3"/>
    </row>
    <row r="468" ht="15.75" customHeight="1">
      <c r="J468" s="3"/>
    </row>
    <row r="469" ht="15.75" customHeight="1">
      <c r="J469" s="3"/>
    </row>
    <row r="470" ht="15.75" customHeight="1">
      <c r="J470" s="3"/>
    </row>
    <row r="471" ht="15.75" customHeight="1">
      <c r="J471" s="3"/>
    </row>
    <row r="472" ht="15.75" customHeight="1">
      <c r="J472" s="3"/>
    </row>
    <row r="473" ht="15.75" customHeight="1">
      <c r="J473" s="3"/>
    </row>
    <row r="474" ht="15.75" customHeight="1">
      <c r="J474" s="3"/>
    </row>
    <row r="475" ht="15.75" customHeight="1">
      <c r="J475" s="3"/>
    </row>
    <row r="476" ht="15.75" customHeight="1">
      <c r="J476" s="3"/>
    </row>
    <row r="477" ht="15.75" customHeight="1">
      <c r="J477" s="3"/>
    </row>
    <row r="478" ht="15.75" customHeight="1">
      <c r="J478" s="3"/>
    </row>
    <row r="479" ht="15.75" customHeight="1">
      <c r="J479" s="3"/>
    </row>
    <row r="480" ht="15.75" customHeight="1">
      <c r="J480" s="3"/>
    </row>
    <row r="481" ht="15.75" customHeight="1">
      <c r="J481" s="3"/>
    </row>
    <row r="482" ht="15.75" customHeight="1">
      <c r="J482" s="3"/>
    </row>
    <row r="483" ht="15.75" customHeight="1">
      <c r="J483" s="3"/>
    </row>
    <row r="484" ht="15.75" customHeight="1">
      <c r="J484" s="3"/>
    </row>
    <row r="485" ht="15.75" customHeight="1">
      <c r="J485" s="3"/>
    </row>
    <row r="486" ht="15.75" customHeight="1">
      <c r="J486" s="3"/>
    </row>
    <row r="487" ht="15.75" customHeight="1">
      <c r="J487" s="3"/>
    </row>
    <row r="488" ht="15.75" customHeight="1">
      <c r="J488" s="3"/>
    </row>
    <row r="489" ht="15.75" customHeight="1">
      <c r="J489" s="3"/>
    </row>
    <row r="490" ht="15.75" customHeight="1">
      <c r="J490" s="3"/>
    </row>
    <row r="491" ht="15.75" customHeight="1">
      <c r="J491" s="3"/>
    </row>
    <row r="492" ht="15.75" customHeight="1">
      <c r="J492" s="3"/>
    </row>
    <row r="493" ht="15.75" customHeight="1">
      <c r="J493" s="3"/>
    </row>
    <row r="494" ht="15.75" customHeight="1">
      <c r="J494" s="3"/>
    </row>
    <row r="495" ht="15.75" customHeight="1">
      <c r="J495" s="3"/>
    </row>
    <row r="496" ht="15.75" customHeight="1">
      <c r="J496" s="3"/>
    </row>
    <row r="497" ht="15.75" customHeight="1">
      <c r="J497" s="3"/>
    </row>
    <row r="498" ht="15.75" customHeight="1">
      <c r="J498" s="3"/>
    </row>
    <row r="499" ht="15.75" customHeight="1">
      <c r="J499" s="3"/>
    </row>
    <row r="500" ht="15.75" customHeight="1">
      <c r="J500" s="3"/>
    </row>
    <row r="501" ht="15.75" customHeight="1">
      <c r="J501" s="3"/>
    </row>
    <row r="502" ht="15.75" customHeight="1">
      <c r="J502" s="3"/>
    </row>
    <row r="503" ht="15.75" customHeight="1">
      <c r="J503" s="3"/>
    </row>
    <row r="504" ht="15.75" customHeight="1">
      <c r="J504" s="3"/>
    </row>
    <row r="505" ht="15.75" customHeight="1">
      <c r="J505" s="3"/>
    </row>
    <row r="506" ht="15.75" customHeight="1">
      <c r="J506" s="3"/>
    </row>
    <row r="507" ht="15.75" customHeight="1">
      <c r="J507" s="3"/>
    </row>
    <row r="508" ht="15.75" customHeight="1">
      <c r="J508" s="3"/>
    </row>
    <row r="509" ht="15.75" customHeight="1">
      <c r="J509" s="3"/>
    </row>
    <row r="510" ht="15.75" customHeight="1">
      <c r="J510" s="3"/>
    </row>
    <row r="511" ht="15.75" customHeight="1">
      <c r="J511" s="3"/>
    </row>
    <row r="512" ht="15.75" customHeight="1">
      <c r="J512" s="3"/>
    </row>
    <row r="513" ht="15.75" customHeight="1">
      <c r="J513" s="3"/>
    </row>
    <row r="514" ht="15.75" customHeight="1">
      <c r="J514" s="3"/>
    </row>
    <row r="515" ht="15.75" customHeight="1">
      <c r="J515" s="3"/>
    </row>
    <row r="516" ht="15.75" customHeight="1">
      <c r="J516" s="3"/>
    </row>
    <row r="517" ht="15.75" customHeight="1">
      <c r="J517" s="3"/>
    </row>
    <row r="518" ht="15.75" customHeight="1">
      <c r="J518" s="3"/>
    </row>
    <row r="519" ht="15.75" customHeight="1">
      <c r="J519" s="3"/>
    </row>
    <row r="520" ht="15.75" customHeight="1">
      <c r="J520" s="3"/>
    </row>
    <row r="521" ht="15.75" customHeight="1">
      <c r="J521" s="3"/>
    </row>
    <row r="522" ht="15.75" customHeight="1">
      <c r="J522" s="3"/>
    </row>
    <row r="523" ht="15.75" customHeight="1">
      <c r="J523" s="3"/>
    </row>
    <row r="524" ht="15.75" customHeight="1">
      <c r="J524" s="3"/>
    </row>
    <row r="525" ht="15.75" customHeight="1">
      <c r="J525" s="3"/>
    </row>
    <row r="526" ht="15.75" customHeight="1">
      <c r="J526" s="3"/>
    </row>
    <row r="527" ht="15.75" customHeight="1">
      <c r="J527" s="3"/>
    </row>
    <row r="528" ht="15.75" customHeight="1">
      <c r="J528" s="3"/>
    </row>
    <row r="529" ht="15.75" customHeight="1">
      <c r="J529" s="3"/>
    </row>
    <row r="530" ht="15.75" customHeight="1">
      <c r="J530" s="3"/>
    </row>
    <row r="531" ht="15.75" customHeight="1">
      <c r="J531" s="3"/>
    </row>
    <row r="532" ht="15.75" customHeight="1">
      <c r="J532" s="3"/>
    </row>
    <row r="533" ht="15.75" customHeight="1">
      <c r="J533" s="3"/>
    </row>
    <row r="534" ht="15.75" customHeight="1">
      <c r="J534" s="3"/>
    </row>
    <row r="535" ht="15.75" customHeight="1">
      <c r="J535" s="3"/>
    </row>
    <row r="536" ht="15.75" customHeight="1">
      <c r="J536" s="3"/>
    </row>
    <row r="537" ht="15.75" customHeight="1">
      <c r="J537" s="3"/>
    </row>
    <row r="538" ht="15.75" customHeight="1">
      <c r="J538" s="3"/>
    </row>
    <row r="539" ht="15.75" customHeight="1">
      <c r="J539" s="3"/>
    </row>
    <row r="540" ht="15.75" customHeight="1">
      <c r="J540" s="3"/>
    </row>
    <row r="541" ht="15.75" customHeight="1">
      <c r="J541" s="3"/>
    </row>
    <row r="542" ht="15.75" customHeight="1">
      <c r="J542" s="3"/>
    </row>
    <row r="543" ht="15.75" customHeight="1">
      <c r="J543" s="3"/>
    </row>
    <row r="544" ht="15.75" customHeight="1">
      <c r="J544" s="3"/>
    </row>
    <row r="545" ht="15.75" customHeight="1">
      <c r="J545" s="3"/>
    </row>
    <row r="546" ht="15.75" customHeight="1">
      <c r="J546" s="3"/>
    </row>
    <row r="547" ht="15.75" customHeight="1">
      <c r="J547" s="3"/>
    </row>
    <row r="548" ht="15.75" customHeight="1">
      <c r="J548" s="3"/>
    </row>
    <row r="549" ht="15.75" customHeight="1">
      <c r="J549" s="3"/>
    </row>
    <row r="550" ht="15.75" customHeight="1">
      <c r="J550" s="3"/>
    </row>
    <row r="551" ht="15.75" customHeight="1">
      <c r="J551" s="3"/>
    </row>
    <row r="552" ht="15.75" customHeight="1">
      <c r="J552" s="3"/>
    </row>
    <row r="553" ht="15.75" customHeight="1">
      <c r="J553" s="3"/>
    </row>
    <row r="554" ht="15.75" customHeight="1">
      <c r="J554" s="3"/>
    </row>
    <row r="555" ht="15.75" customHeight="1">
      <c r="J555" s="3"/>
    </row>
    <row r="556" ht="15.75" customHeight="1">
      <c r="J556" s="3"/>
    </row>
    <row r="557" ht="15.75" customHeight="1">
      <c r="J557" s="3"/>
    </row>
    <row r="558" ht="15.75" customHeight="1">
      <c r="J558" s="3"/>
    </row>
    <row r="559" ht="15.75" customHeight="1">
      <c r="J559" s="3"/>
    </row>
    <row r="560" ht="15.75" customHeight="1">
      <c r="J560" s="3"/>
    </row>
    <row r="561" ht="15.75" customHeight="1">
      <c r="J561" s="3"/>
    </row>
    <row r="562" ht="15.75" customHeight="1">
      <c r="J562" s="3"/>
    </row>
    <row r="563" ht="15.75" customHeight="1">
      <c r="J563" s="3"/>
    </row>
    <row r="564" ht="15.75" customHeight="1">
      <c r="J564" s="3"/>
    </row>
    <row r="565" ht="15.75" customHeight="1">
      <c r="J565" s="3"/>
    </row>
    <row r="566" ht="15.75" customHeight="1">
      <c r="J566" s="3"/>
    </row>
    <row r="567" ht="15.75" customHeight="1">
      <c r="J567" s="3"/>
    </row>
    <row r="568" ht="15.75" customHeight="1">
      <c r="J568" s="3"/>
    </row>
    <row r="569" ht="15.75" customHeight="1">
      <c r="J569" s="3"/>
    </row>
    <row r="570" ht="15.75" customHeight="1">
      <c r="J570" s="3"/>
    </row>
    <row r="571" ht="15.75" customHeight="1">
      <c r="J571" s="3"/>
    </row>
    <row r="572" ht="15.75" customHeight="1">
      <c r="J572" s="3"/>
    </row>
    <row r="573" ht="15.75" customHeight="1">
      <c r="J573" s="3"/>
    </row>
    <row r="574" ht="15.75" customHeight="1">
      <c r="J574" s="3"/>
    </row>
    <row r="575" ht="15.75" customHeight="1">
      <c r="J575" s="3"/>
    </row>
    <row r="576" ht="15.75" customHeight="1">
      <c r="J576" s="3"/>
    </row>
    <row r="577" ht="15.75" customHeight="1">
      <c r="J577" s="3"/>
    </row>
    <row r="578" ht="15.75" customHeight="1">
      <c r="J578" s="3"/>
    </row>
    <row r="579" ht="15.75" customHeight="1">
      <c r="J579" s="3"/>
    </row>
    <row r="580" ht="15.75" customHeight="1">
      <c r="J580" s="3"/>
    </row>
    <row r="581" ht="15.75" customHeight="1">
      <c r="J581" s="3"/>
    </row>
    <row r="582" ht="15.75" customHeight="1">
      <c r="J582" s="3"/>
    </row>
    <row r="583" ht="15.75" customHeight="1">
      <c r="J583" s="3"/>
    </row>
    <row r="584" ht="15.75" customHeight="1">
      <c r="J584" s="3"/>
    </row>
    <row r="585" ht="15.75" customHeight="1">
      <c r="J585" s="3"/>
    </row>
    <row r="586" ht="15.75" customHeight="1">
      <c r="J586" s="3"/>
    </row>
    <row r="587" ht="15.75" customHeight="1">
      <c r="J587" s="3"/>
    </row>
    <row r="588" ht="15.75" customHeight="1">
      <c r="J588" s="3"/>
    </row>
    <row r="589" ht="15.75" customHeight="1">
      <c r="J589" s="3"/>
    </row>
    <row r="590" ht="15.75" customHeight="1">
      <c r="J590" s="3"/>
    </row>
    <row r="591" ht="15.75" customHeight="1">
      <c r="J591" s="3"/>
    </row>
    <row r="592" ht="15.75" customHeight="1">
      <c r="J592" s="3"/>
    </row>
    <row r="593" ht="15.75" customHeight="1">
      <c r="J593" s="3"/>
    </row>
    <row r="594" ht="15.75" customHeight="1">
      <c r="J594" s="3"/>
    </row>
    <row r="595" ht="15.75" customHeight="1">
      <c r="J595" s="3"/>
    </row>
    <row r="596" ht="15.75" customHeight="1">
      <c r="J596" s="3"/>
    </row>
    <row r="597" ht="15.75" customHeight="1">
      <c r="J597" s="3"/>
    </row>
    <row r="598" ht="15.75" customHeight="1">
      <c r="J598" s="3"/>
    </row>
    <row r="599" ht="15.75" customHeight="1">
      <c r="J599" s="3"/>
    </row>
    <row r="600" ht="15.75" customHeight="1">
      <c r="J600" s="3"/>
    </row>
    <row r="601" ht="15.75" customHeight="1">
      <c r="J601" s="3"/>
    </row>
    <row r="602" ht="15.75" customHeight="1">
      <c r="J602" s="3"/>
    </row>
    <row r="603" ht="15.75" customHeight="1">
      <c r="J603" s="3"/>
    </row>
    <row r="604" ht="15.75" customHeight="1">
      <c r="J604" s="3"/>
    </row>
    <row r="605" ht="15.75" customHeight="1">
      <c r="J605" s="3"/>
    </row>
    <row r="606" ht="15.75" customHeight="1">
      <c r="J606" s="3"/>
    </row>
    <row r="607" ht="15.75" customHeight="1">
      <c r="J607" s="3"/>
    </row>
    <row r="608" ht="15.75" customHeight="1">
      <c r="J608" s="3"/>
    </row>
    <row r="609" ht="15.75" customHeight="1">
      <c r="J609" s="3"/>
    </row>
    <row r="610" ht="15.75" customHeight="1">
      <c r="J610" s="3"/>
    </row>
    <row r="611" ht="15.75" customHeight="1">
      <c r="J611" s="3"/>
    </row>
    <row r="612" ht="15.75" customHeight="1">
      <c r="J612" s="3"/>
    </row>
    <row r="613" ht="15.75" customHeight="1">
      <c r="J613" s="3"/>
    </row>
    <row r="614" ht="15.75" customHeight="1">
      <c r="J614" s="3"/>
    </row>
    <row r="615" ht="15.75" customHeight="1">
      <c r="J615" s="3"/>
    </row>
    <row r="616" ht="15.75" customHeight="1">
      <c r="J616" s="3"/>
    </row>
    <row r="617" ht="15.75" customHeight="1">
      <c r="J617" s="3"/>
    </row>
    <row r="618" ht="15.75" customHeight="1">
      <c r="J618" s="3"/>
    </row>
    <row r="619" ht="15.75" customHeight="1">
      <c r="J619" s="3"/>
    </row>
    <row r="620" ht="15.75" customHeight="1">
      <c r="J620" s="3"/>
    </row>
    <row r="621" ht="15.75" customHeight="1">
      <c r="J621" s="3"/>
    </row>
    <row r="622" ht="15.75" customHeight="1">
      <c r="J622" s="3"/>
    </row>
    <row r="623" ht="15.75" customHeight="1">
      <c r="J623" s="3"/>
    </row>
    <row r="624" ht="15.75" customHeight="1">
      <c r="J624" s="3"/>
    </row>
    <row r="625" ht="15.75" customHeight="1">
      <c r="J625" s="3"/>
    </row>
    <row r="626" ht="15.75" customHeight="1">
      <c r="J626" s="3"/>
    </row>
    <row r="627" ht="15.75" customHeight="1">
      <c r="J627" s="3"/>
    </row>
    <row r="628" ht="15.75" customHeight="1">
      <c r="J628" s="3"/>
    </row>
    <row r="629" ht="15.75" customHeight="1">
      <c r="J629" s="3"/>
    </row>
    <row r="630" ht="15.75" customHeight="1">
      <c r="J630" s="3"/>
    </row>
    <row r="631" ht="15.75" customHeight="1">
      <c r="J631" s="3"/>
    </row>
    <row r="632" ht="15.75" customHeight="1">
      <c r="J632" s="3"/>
    </row>
    <row r="633" ht="15.75" customHeight="1">
      <c r="J633" s="3"/>
    </row>
    <row r="634" ht="15.75" customHeight="1">
      <c r="J634" s="3"/>
    </row>
    <row r="635" ht="15.75" customHeight="1">
      <c r="J635" s="3"/>
    </row>
    <row r="636" ht="15.75" customHeight="1">
      <c r="J636" s="3"/>
    </row>
    <row r="637" ht="15.75" customHeight="1">
      <c r="J637" s="3"/>
    </row>
    <row r="638" ht="15.75" customHeight="1">
      <c r="J638" s="3"/>
    </row>
    <row r="639" ht="15.75" customHeight="1">
      <c r="J639" s="3"/>
    </row>
    <row r="640" ht="15.75" customHeight="1">
      <c r="J640" s="3"/>
    </row>
    <row r="641" ht="15.75" customHeight="1">
      <c r="J641" s="3"/>
    </row>
    <row r="642" ht="15.75" customHeight="1">
      <c r="J642" s="3"/>
    </row>
    <row r="643" ht="15.75" customHeight="1">
      <c r="J643" s="3"/>
    </row>
    <row r="644" ht="15.75" customHeight="1">
      <c r="J644" s="3"/>
    </row>
    <row r="645" ht="15.75" customHeight="1">
      <c r="J645" s="3"/>
    </row>
    <row r="646" ht="15.75" customHeight="1">
      <c r="J646" s="3"/>
    </row>
    <row r="647" ht="15.75" customHeight="1">
      <c r="J647" s="3"/>
    </row>
    <row r="648" ht="15.75" customHeight="1">
      <c r="J648" s="3"/>
    </row>
    <row r="649" ht="15.75" customHeight="1">
      <c r="J649" s="3"/>
    </row>
    <row r="650" ht="15.75" customHeight="1">
      <c r="J650" s="3"/>
    </row>
    <row r="651" ht="15.75" customHeight="1">
      <c r="J651" s="3"/>
    </row>
    <row r="652" ht="15.75" customHeight="1">
      <c r="J652" s="3"/>
    </row>
    <row r="653" ht="15.75" customHeight="1">
      <c r="J653" s="3"/>
    </row>
    <row r="654" ht="15.75" customHeight="1">
      <c r="J654" s="3"/>
    </row>
    <row r="655" ht="15.75" customHeight="1">
      <c r="J655" s="3"/>
    </row>
    <row r="656" ht="15.75" customHeight="1">
      <c r="J656" s="3"/>
    </row>
    <row r="657" ht="15.75" customHeight="1">
      <c r="J657" s="3"/>
    </row>
    <row r="658" ht="15.75" customHeight="1">
      <c r="J658" s="3"/>
    </row>
    <row r="659" ht="15.75" customHeight="1">
      <c r="J659" s="3"/>
    </row>
    <row r="660" ht="15.75" customHeight="1">
      <c r="J660" s="3"/>
    </row>
    <row r="661" ht="15.75" customHeight="1">
      <c r="J661" s="3"/>
    </row>
    <row r="662" ht="15.75" customHeight="1">
      <c r="J662" s="3"/>
    </row>
    <row r="663" ht="15.75" customHeight="1">
      <c r="J663" s="3"/>
    </row>
    <row r="664" ht="15.75" customHeight="1">
      <c r="J664" s="3"/>
    </row>
    <row r="665" ht="15.75" customHeight="1">
      <c r="J665" s="3"/>
    </row>
    <row r="666" ht="15.75" customHeight="1">
      <c r="J666" s="3"/>
    </row>
    <row r="667" ht="15.75" customHeight="1">
      <c r="J667" s="3"/>
    </row>
    <row r="668" ht="15.75" customHeight="1">
      <c r="J668" s="3"/>
    </row>
    <row r="669" ht="15.75" customHeight="1">
      <c r="J669" s="3"/>
    </row>
    <row r="670" ht="15.75" customHeight="1">
      <c r="J670" s="3"/>
    </row>
    <row r="671" ht="15.75" customHeight="1">
      <c r="J671" s="3"/>
    </row>
    <row r="672" ht="15.75" customHeight="1">
      <c r="J672" s="3"/>
    </row>
    <row r="673" ht="15.75" customHeight="1">
      <c r="J673" s="3"/>
    </row>
    <row r="674" ht="15.75" customHeight="1">
      <c r="J674" s="3"/>
    </row>
    <row r="675" ht="15.75" customHeight="1">
      <c r="J675" s="3"/>
    </row>
    <row r="676" ht="15.75" customHeight="1">
      <c r="J676" s="3"/>
    </row>
    <row r="677" ht="15.75" customHeight="1">
      <c r="J677" s="3"/>
    </row>
    <row r="678" ht="15.75" customHeight="1">
      <c r="J678" s="3"/>
    </row>
    <row r="679" ht="15.75" customHeight="1">
      <c r="J679" s="3"/>
    </row>
    <row r="680" ht="15.75" customHeight="1">
      <c r="J680" s="3"/>
    </row>
    <row r="681" ht="15.75" customHeight="1">
      <c r="J681" s="3"/>
    </row>
    <row r="682" ht="15.75" customHeight="1">
      <c r="J682" s="3"/>
    </row>
    <row r="683" ht="15.75" customHeight="1">
      <c r="J683" s="3"/>
    </row>
    <row r="684" ht="15.75" customHeight="1">
      <c r="J684" s="3"/>
    </row>
    <row r="685" ht="15.75" customHeight="1">
      <c r="J685" s="3"/>
    </row>
    <row r="686" ht="15.75" customHeight="1">
      <c r="J686" s="3"/>
    </row>
    <row r="687" ht="15.75" customHeight="1">
      <c r="J687" s="3"/>
    </row>
    <row r="688" ht="15.75" customHeight="1">
      <c r="J688" s="3"/>
    </row>
    <row r="689" ht="15.75" customHeight="1">
      <c r="J689" s="3"/>
    </row>
    <row r="690" ht="15.75" customHeight="1">
      <c r="J690" s="3"/>
    </row>
    <row r="691" ht="15.75" customHeight="1">
      <c r="J691" s="3"/>
    </row>
    <row r="692" ht="15.75" customHeight="1">
      <c r="J692" s="3"/>
    </row>
    <row r="693" ht="15.75" customHeight="1">
      <c r="J693" s="3"/>
    </row>
    <row r="694" ht="15.75" customHeight="1">
      <c r="J694" s="3"/>
    </row>
    <row r="695" ht="15.75" customHeight="1">
      <c r="J695" s="3"/>
    </row>
    <row r="696" ht="15.75" customHeight="1">
      <c r="J696" s="3"/>
    </row>
    <row r="697" ht="15.75" customHeight="1">
      <c r="J697" s="3"/>
    </row>
    <row r="698" ht="15.75" customHeight="1">
      <c r="J698" s="3"/>
    </row>
    <row r="699" ht="15.75" customHeight="1">
      <c r="J699" s="3"/>
    </row>
    <row r="700" ht="15.75" customHeight="1">
      <c r="J700" s="3"/>
    </row>
    <row r="701" ht="15.75" customHeight="1">
      <c r="J701" s="3"/>
    </row>
    <row r="702" ht="15.75" customHeight="1">
      <c r="J702" s="3"/>
    </row>
    <row r="703" ht="15.75" customHeight="1">
      <c r="J703" s="3"/>
    </row>
    <row r="704" ht="15.75" customHeight="1">
      <c r="J704" s="3"/>
    </row>
    <row r="705" ht="15.75" customHeight="1">
      <c r="J705" s="3"/>
    </row>
    <row r="706" ht="15.75" customHeight="1">
      <c r="J706" s="3"/>
    </row>
    <row r="707" ht="15.75" customHeight="1">
      <c r="J707" s="3"/>
    </row>
    <row r="708" ht="15.75" customHeight="1">
      <c r="J708" s="3"/>
    </row>
    <row r="709" ht="15.75" customHeight="1">
      <c r="J709" s="3"/>
    </row>
    <row r="710" ht="15.75" customHeight="1">
      <c r="J710" s="3"/>
    </row>
    <row r="711" ht="15.75" customHeight="1">
      <c r="J711" s="3"/>
    </row>
    <row r="712" ht="15.75" customHeight="1">
      <c r="J712" s="3"/>
    </row>
    <row r="713" ht="15.75" customHeight="1">
      <c r="J713" s="3"/>
    </row>
    <row r="714" ht="15.75" customHeight="1">
      <c r="J714" s="3"/>
    </row>
    <row r="715" ht="15.75" customHeight="1">
      <c r="J715" s="3"/>
    </row>
    <row r="716" ht="15.75" customHeight="1">
      <c r="J716" s="3"/>
    </row>
    <row r="717" ht="15.75" customHeight="1">
      <c r="J717" s="3"/>
    </row>
    <row r="718" ht="15.75" customHeight="1">
      <c r="J718" s="3"/>
    </row>
    <row r="719" ht="15.75" customHeight="1">
      <c r="J719" s="3"/>
    </row>
    <row r="720" ht="15.75" customHeight="1">
      <c r="J720" s="3"/>
    </row>
    <row r="721" ht="15.75" customHeight="1">
      <c r="J721" s="3"/>
    </row>
    <row r="722" ht="15.75" customHeight="1">
      <c r="J722" s="3"/>
    </row>
    <row r="723" ht="15.75" customHeight="1">
      <c r="J723" s="3"/>
    </row>
    <row r="724" ht="15.75" customHeight="1">
      <c r="J724" s="3"/>
    </row>
    <row r="725" ht="15.75" customHeight="1">
      <c r="J725" s="3"/>
    </row>
    <row r="726" ht="15.75" customHeight="1">
      <c r="J726" s="3"/>
    </row>
    <row r="727" ht="15.75" customHeight="1">
      <c r="J727" s="3"/>
    </row>
    <row r="728" ht="15.75" customHeight="1">
      <c r="J728" s="3"/>
    </row>
    <row r="729" ht="15.75" customHeight="1">
      <c r="J729" s="3"/>
    </row>
    <row r="730" ht="15.75" customHeight="1">
      <c r="J730" s="3"/>
    </row>
    <row r="731" ht="15.75" customHeight="1">
      <c r="J731" s="3"/>
    </row>
    <row r="732" ht="15.75" customHeight="1">
      <c r="J732" s="3"/>
    </row>
    <row r="733" ht="15.75" customHeight="1">
      <c r="J733" s="3"/>
    </row>
    <row r="734" ht="15.75" customHeight="1">
      <c r="J734" s="3"/>
    </row>
    <row r="735" ht="15.75" customHeight="1">
      <c r="J735" s="3"/>
    </row>
    <row r="736" ht="15.75" customHeight="1">
      <c r="J736" s="3"/>
    </row>
    <row r="737" ht="15.75" customHeight="1">
      <c r="J737" s="3"/>
    </row>
    <row r="738" ht="15.75" customHeight="1">
      <c r="J738" s="3"/>
    </row>
    <row r="739" ht="15.75" customHeight="1">
      <c r="J739" s="3"/>
    </row>
    <row r="740" ht="15.75" customHeight="1">
      <c r="J740" s="3"/>
    </row>
    <row r="741" ht="15.75" customHeight="1">
      <c r="J741" s="3"/>
    </row>
    <row r="742" ht="15.75" customHeight="1">
      <c r="J742" s="3"/>
    </row>
    <row r="743" ht="15.75" customHeight="1">
      <c r="J743" s="3"/>
    </row>
    <row r="744" ht="15.75" customHeight="1">
      <c r="J744" s="3"/>
    </row>
    <row r="745" ht="15.75" customHeight="1">
      <c r="J745" s="3"/>
    </row>
    <row r="746" ht="15.75" customHeight="1">
      <c r="J746" s="3"/>
    </row>
    <row r="747" ht="15.75" customHeight="1">
      <c r="J747" s="3"/>
    </row>
    <row r="748" ht="15.75" customHeight="1">
      <c r="J748" s="3"/>
    </row>
    <row r="749" ht="15.75" customHeight="1">
      <c r="J749" s="3"/>
    </row>
    <row r="750" ht="15.75" customHeight="1">
      <c r="J750" s="3"/>
    </row>
    <row r="751" ht="15.75" customHeight="1">
      <c r="J751" s="3"/>
    </row>
    <row r="752" ht="15.75" customHeight="1">
      <c r="J752" s="3"/>
    </row>
    <row r="753" ht="15.75" customHeight="1">
      <c r="J753" s="3"/>
    </row>
    <row r="754" ht="15.75" customHeight="1">
      <c r="J754" s="3"/>
    </row>
    <row r="755" ht="15.75" customHeight="1">
      <c r="J755" s="3"/>
    </row>
    <row r="756" ht="15.75" customHeight="1">
      <c r="J756" s="3"/>
    </row>
    <row r="757" ht="15.75" customHeight="1">
      <c r="J757" s="3"/>
    </row>
    <row r="758" ht="15.75" customHeight="1">
      <c r="J758" s="3"/>
    </row>
    <row r="759" ht="15.75" customHeight="1">
      <c r="J759" s="3"/>
    </row>
    <row r="760" ht="15.75" customHeight="1">
      <c r="J760" s="3"/>
    </row>
    <row r="761" ht="15.75" customHeight="1">
      <c r="J761" s="3"/>
    </row>
    <row r="762" ht="15.75" customHeight="1">
      <c r="J762" s="3"/>
    </row>
    <row r="763" ht="15.75" customHeight="1">
      <c r="J763" s="3"/>
    </row>
    <row r="764" ht="15.75" customHeight="1">
      <c r="J764" s="3"/>
    </row>
    <row r="765" ht="15.75" customHeight="1">
      <c r="J765" s="3"/>
    </row>
    <row r="766" ht="15.75" customHeight="1">
      <c r="J766" s="3"/>
    </row>
    <row r="767" ht="15.75" customHeight="1">
      <c r="J767" s="3"/>
    </row>
    <row r="768" ht="15.75" customHeight="1">
      <c r="J768" s="3"/>
    </row>
    <row r="769" ht="15.75" customHeight="1">
      <c r="J769" s="3"/>
    </row>
    <row r="770" ht="15.75" customHeight="1">
      <c r="J770" s="3"/>
    </row>
    <row r="771" ht="15.75" customHeight="1">
      <c r="J771" s="3"/>
    </row>
    <row r="772" ht="15.75" customHeight="1">
      <c r="J772" s="3"/>
    </row>
    <row r="773" ht="15.75" customHeight="1">
      <c r="J773" s="3"/>
    </row>
    <row r="774" ht="15.75" customHeight="1">
      <c r="J774" s="3"/>
    </row>
    <row r="775" ht="15.75" customHeight="1">
      <c r="J775" s="3"/>
    </row>
    <row r="776" ht="15.75" customHeight="1">
      <c r="J776" s="3"/>
    </row>
    <row r="777" ht="15.75" customHeight="1">
      <c r="J777" s="3"/>
    </row>
    <row r="778" ht="15.75" customHeight="1">
      <c r="J778" s="3"/>
    </row>
    <row r="779" ht="15.75" customHeight="1">
      <c r="J779" s="3"/>
    </row>
    <row r="780" ht="15.75" customHeight="1">
      <c r="J780" s="3"/>
    </row>
    <row r="781" ht="15.75" customHeight="1">
      <c r="J781" s="3"/>
    </row>
    <row r="782" ht="15.75" customHeight="1">
      <c r="J782" s="3"/>
    </row>
    <row r="783" ht="15.75" customHeight="1">
      <c r="J783" s="3"/>
    </row>
    <row r="784" ht="15.75" customHeight="1">
      <c r="J784" s="3"/>
    </row>
    <row r="785" ht="15.75" customHeight="1">
      <c r="J785" s="3"/>
    </row>
    <row r="786" ht="15.75" customHeight="1">
      <c r="J786" s="3"/>
    </row>
    <row r="787" ht="15.75" customHeight="1">
      <c r="J787" s="3"/>
    </row>
    <row r="788" ht="15.75" customHeight="1">
      <c r="J788" s="3"/>
    </row>
    <row r="789" ht="15.75" customHeight="1">
      <c r="J789" s="3"/>
    </row>
    <row r="790" ht="15.75" customHeight="1">
      <c r="J790" s="3"/>
    </row>
    <row r="791" ht="15.75" customHeight="1">
      <c r="J791" s="3"/>
    </row>
    <row r="792" ht="15.75" customHeight="1">
      <c r="J792" s="3"/>
    </row>
    <row r="793" ht="15.75" customHeight="1">
      <c r="J793" s="3"/>
    </row>
    <row r="794" ht="15.75" customHeight="1">
      <c r="J794" s="3"/>
    </row>
    <row r="795" ht="15.75" customHeight="1">
      <c r="J795" s="3"/>
    </row>
    <row r="796" ht="15.75" customHeight="1">
      <c r="J796" s="3"/>
    </row>
    <row r="797" ht="15.75" customHeight="1">
      <c r="J797" s="3"/>
    </row>
    <row r="798" ht="15.75" customHeight="1">
      <c r="J798" s="3"/>
    </row>
    <row r="799" ht="15.75" customHeight="1">
      <c r="J799" s="3"/>
    </row>
    <row r="800" ht="15.75" customHeight="1">
      <c r="J800" s="3"/>
    </row>
    <row r="801" ht="15.75" customHeight="1">
      <c r="J801" s="3"/>
    </row>
    <row r="802" ht="15.75" customHeight="1">
      <c r="J802" s="3"/>
    </row>
    <row r="803" ht="15.75" customHeight="1">
      <c r="J803" s="3"/>
    </row>
    <row r="804" ht="15.75" customHeight="1">
      <c r="J804" s="3"/>
    </row>
    <row r="805" ht="15.75" customHeight="1">
      <c r="J805" s="3"/>
    </row>
    <row r="806" ht="15.75" customHeight="1">
      <c r="J806" s="3"/>
    </row>
    <row r="807" ht="15.75" customHeight="1">
      <c r="J807" s="3"/>
    </row>
    <row r="808" ht="15.75" customHeight="1">
      <c r="J808" s="3"/>
    </row>
    <row r="809" ht="15.75" customHeight="1">
      <c r="J809" s="3"/>
    </row>
    <row r="810" ht="15.75" customHeight="1">
      <c r="J810" s="3"/>
    </row>
    <row r="811" ht="15.75" customHeight="1">
      <c r="J811" s="3"/>
    </row>
    <row r="812" ht="15.75" customHeight="1">
      <c r="J812" s="3"/>
    </row>
    <row r="813" ht="15.75" customHeight="1">
      <c r="J813" s="3"/>
    </row>
    <row r="814" ht="15.75" customHeight="1">
      <c r="J814" s="3"/>
    </row>
    <row r="815" ht="15.75" customHeight="1">
      <c r="J815" s="3"/>
    </row>
    <row r="816" ht="15.75" customHeight="1">
      <c r="J816" s="3"/>
    </row>
    <row r="817" ht="15.75" customHeight="1">
      <c r="J817" s="3"/>
    </row>
    <row r="818" ht="15.75" customHeight="1">
      <c r="J818" s="3"/>
    </row>
    <row r="819" ht="15.75" customHeight="1">
      <c r="J819" s="3"/>
    </row>
    <row r="820" ht="15.75" customHeight="1">
      <c r="J820" s="3"/>
    </row>
    <row r="821" ht="15.75" customHeight="1">
      <c r="J821" s="3"/>
    </row>
    <row r="822" ht="15.75" customHeight="1">
      <c r="J822" s="3"/>
    </row>
    <row r="823" ht="15.75" customHeight="1">
      <c r="J823" s="3"/>
    </row>
    <row r="824" ht="15.75" customHeight="1">
      <c r="J824" s="3"/>
    </row>
    <row r="825" ht="15.75" customHeight="1">
      <c r="J825" s="3"/>
    </row>
    <row r="826" ht="15.75" customHeight="1">
      <c r="J826" s="3"/>
    </row>
    <row r="827" ht="15.75" customHeight="1">
      <c r="J827" s="3"/>
    </row>
    <row r="828" ht="15.75" customHeight="1">
      <c r="J828" s="3"/>
    </row>
    <row r="829" ht="15.75" customHeight="1">
      <c r="J829" s="3"/>
    </row>
    <row r="830" ht="15.75" customHeight="1">
      <c r="J830" s="3"/>
    </row>
    <row r="831" ht="15.75" customHeight="1">
      <c r="J831" s="3"/>
    </row>
    <row r="832" ht="15.75" customHeight="1">
      <c r="J832" s="3"/>
    </row>
    <row r="833" ht="15.75" customHeight="1">
      <c r="J833" s="3"/>
    </row>
    <row r="834" ht="15.75" customHeight="1">
      <c r="J834" s="3"/>
    </row>
    <row r="835" ht="15.75" customHeight="1">
      <c r="J835" s="3"/>
    </row>
    <row r="836" ht="15.75" customHeight="1">
      <c r="J836" s="3"/>
    </row>
    <row r="837" ht="15.75" customHeight="1">
      <c r="J837" s="3"/>
    </row>
    <row r="838" ht="15.75" customHeight="1">
      <c r="J838" s="3"/>
    </row>
    <row r="839" ht="15.75" customHeight="1">
      <c r="J839" s="3"/>
    </row>
    <row r="840" ht="15.75" customHeight="1">
      <c r="J840" s="3"/>
    </row>
    <row r="841" ht="15.75" customHeight="1">
      <c r="J841" s="3"/>
    </row>
    <row r="842" ht="15.75" customHeight="1">
      <c r="J842" s="3"/>
    </row>
    <row r="843" ht="15.75" customHeight="1">
      <c r="J843" s="3"/>
    </row>
    <row r="844" ht="15.75" customHeight="1">
      <c r="J844" s="3"/>
    </row>
    <row r="845" ht="15.75" customHeight="1">
      <c r="J845" s="3"/>
    </row>
    <row r="846" ht="15.75" customHeight="1">
      <c r="J846" s="3"/>
    </row>
    <row r="847" ht="15.75" customHeight="1">
      <c r="J847" s="3"/>
    </row>
    <row r="848" ht="15.75" customHeight="1">
      <c r="J848" s="3"/>
    </row>
    <row r="849" ht="15.75" customHeight="1">
      <c r="J849" s="3"/>
    </row>
    <row r="850" ht="15.75" customHeight="1">
      <c r="J850" s="3"/>
    </row>
    <row r="851" ht="15.75" customHeight="1">
      <c r="J851" s="3"/>
    </row>
    <row r="852" ht="15.75" customHeight="1">
      <c r="J852" s="3"/>
    </row>
    <row r="853" ht="15.75" customHeight="1">
      <c r="J853" s="3"/>
    </row>
    <row r="854" ht="15.75" customHeight="1">
      <c r="J854" s="3"/>
    </row>
    <row r="855" ht="15.75" customHeight="1">
      <c r="J855" s="3"/>
    </row>
    <row r="856" ht="15.75" customHeight="1">
      <c r="J856" s="3"/>
    </row>
    <row r="857" ht="15.75" customHeight="1">
      <c r="J857" s="3"/>
    </row>
    <row r="858" ht="15.75" customHeight="1">
      <c r="J858" s="3"/>
    </row>
    <row r="859" ht="15.75" customHeight="1">
      <c r="J859" s="3"/>
    </row>
    <row r="860" ht="15.75" customHeight="1">
      <c r="J860" s="3"/>
    </row>
    <row r="861" ht="15.75" customHeight="1">
      <c r="J861" s="3"/>
    </row>
    <row r="862" ht="15.75" customHeight="1">
      <c r="J862" s="3"/>
    </row>
    <row r="863" ht="15.75" customHeight="1">
      <c r="J863" s="3"/>
    </row>
    <row r="864" ht="15.75" customHeight="1">
      <c r="J864" s="3"/>
    </row>
    <row r="865" ht="15.75" customHeight="1">
      <c r="J865" s="3"/>
    </row>
    <row r="866" ht="15.75" customHeight="1">
      <c r="J866" s="3"/>
    </row>
    <row r="867" ht="15.75" customHeight="1">
      <c r="J867" s="3"/>
    </row>
    <row r="868" ht="15.75" customHeight="1">
      <c r="J868" s="3"/>
    </row>
    <row r="869" ht="15.75" customHeight="1">
      <c r="J869" s="3"/>
    </row>
    <row r="870" ht="15.75" customHeight="1">
      <c r="J870" s="3"/>
    </row>
    <row r="871" ht="15.75" customHeight="1">
      <c r="J871" s="3"/>
    </row>
    <row r="872" ht="15.75" customHeight="1">
      <c r="J872" s="3"/>
    </row>
    <row r="873" ht="15.75" customHeight="1">
      <c r="J873" s="3"/>
    </row>
    <row r="874" ht="15.75" customHeight="1">
      <c r="J874" s="3"/>
    </row>
    <row r="875" ht="15.75" customHeight="1">
      <c r="J875" s="3"/>
    </row>
    <row r="876" ht="15.75" customHeight="1">
      <c r="J876" s="3"/>
    </row>
    <row r="877" ht="15.75" customHeight="1">
      <c r="J877" s="3"/>
    </row>
    <row r="878" ht="15.75" customHeight="1">
      <c r="J878" s="3"/>
    </row>
    <row r="879" ht="15.75" customHeight="1">
      <c r="J879" s="3"/>
    </row>
    <row r="880" ht="15.75" customHeight="1">
      <c r="J880" s="3"/>
    </row>
    <row r="881" ht="15.75" customHeight="1">
      <c r="J881" s="3"/>
    </row>
    <row r="882" ht="15.75" customHeight="1">
      <c r="J882" s="3"/>
    </row>
    <row r="883" ht="15.75" customHeight="1">
      <c r="J883" s="3"/>
    </row>
    <row r="884" ht="15.75" customHeight="1">
      <c r="J884" s="3"/>
    </row>
    <row r="885" ht="15.75" customHeight="1">
      <c r="J885" s="3"/>
    </row>
    <row r="886" ht="15.75" customHeight="1">
      <c r="J886" s="3"/>
    </row>
    <row r="887" ht="15.75" customHeight="1">
      <c r="J887" s="3"/>
    </row>
    <row r="888" ht="15.75" customHeight="1">
      <c r="J888" s="3"/>
    </row>
    <row r="889" ht="15.75" customHeight="1">
      <c r="J889" s="3"/>
    </row>
    <row r="890" ht="15.75" customHeight="1">
      <c r="J890" s="3"/>
    </row>
    <row r="891" ht="15.75" customHeight="1">
      <c r="J891" s="3"/>
    </row>
    <row r="892" ht="15.75" customHeight="1">
      <c r="J892" s="3"/>
    </row>
    <row r="893" ht="15.75" customHeight="1">
      <c r="J893" s="3"/>
    </row>
    <row r="894" ht="15.75" customHeight="1">
      <c r="J894" s="3"/>
    </row>
    <row r="895" ht="15.75" customHeight="1">
      <c r="J895" s="3"/>
    </row>
    <row r="896" ht="15.75" customHeight="1">
      <c r="J896" s="3"/>
    </row>
    <row r="897" ht="15.75" customHeight="1">
      <c r="J897" s="3"/>
    </row>
    <row r="898" ht="15.75" customHeight="1">
      <c r="J898" s="3"/>
    </row>
    <row r="899" ht="15.75" customHeight="1">
      <c r="J899" s="3"/>
    </row>
    <row r="900" ht="15.75" customHeight="1">
      <c r="J900" s="3"/>
    </row>
    <row r="901" ht="15.75" customHeight="1">
      <c r="J901" s="3"/>
    </row>
    <row r="902" ht="15.75" customHeight="1">
      <c r="J902" s="3"/>
    </row>
    <row r="903" ht="15.75" customHeight="1">
      <c r="J903" s="3"/>
    </row>
    <row r="904" ht="15.75" customHeight="1">
      <c r="J904" s="3"/>
    </row>
    <row r="905" ht="15.75" customHeight="1">
      <c r="J905" s="3"/>
    </row>
    <row r="906" ht="15.75" customHeight="1">
      <c r="J906" s="3"/>
    </row>
    <row r="907" ht="15.75" customHeight="1">
      <c r="J907" s="3"/>
    </row>
    <row r="908" ht="15.75" customHeight="1">
      <c r="J908" s="3"/>
    </row>
    <row r="909" ht="15.75" customHeight="1">
      <c r="J909" s="3"/>
    </row>
    <row r="910" ht="15.75" customHeight="1">
      <c r="J910" s="3"/>
    </row>
    <row r="911" ht="15.75" customHeight="1">
      <c r="J911" s="3"/>
    </row>
    <row r="912" ht="15.75" customHeight="1">
      <c r="J912" s="3"/>
    </row>
    <row r="913" ht="15.75" customHeight="1">
      <c r="J913" s="3"/>
    </row>
    <row r="914" ht="15.75" customHeight="1">
      <c r="J914" s="3"/>
    </row>
    <row r="915" ht="15.75" customHeight="1">
      <c r="J915" s="3"/>
    </row>
    <row r="916" ht="15.75" customHeight="1">
      <c r="J916" s="3"/>
    </row>
    <row r="917" ht="15.75" customHeight="1">
      <c r="J917" s="3"/>
    </row>
    <row r="918" ht="15.75" customHeight="1">
      <c r="J918" s="3"/>
    </row>
    <row r="919" ht="15.75" customHeight="1">
      <c r="J919" s="3"/>
    </row>
    <row r="920" ht="15.75" customHeight="1">
      <c r="J920" s="3"/>
    </row>
    <row r="921" ht="15.75" customHeight="1">
      <c r="J921" s="3"/>
    </row>
    <row r="922" ht="15.75" customHeight="1">
      <c r="J922" s="3"/>
    </row>
    <row r="923" ht="15.75" customHeight="1">
      <c r="J923" s="3"/>
    </row>
    <row r="924" ht="15.75" customHeight="1">
      <c r="J924" s="3"/>
    </row>
    <row r="925" ht="15.75" customHeight="1">
      <c r="J925" s="3"/>
    </row>
    <row r="926" ht="15.75" customHeight="1">
      <c r="J926" s="3"/>
    </row>
    <row r="927" ht="15.75" customHeight="1">
      <c r="J927" s="3"/>
    </row>
    <row r="928" ht="15.75" customHeight="1">
      <c r="J928" s="3"/>
    </row>
    <row r="929" ht="15.75" customHeight="1">
      <c r="J929" s="3"/>
    </row>
    <row r="930" ht="15.75" customHeight="1">
      <c r="J930" s="3"/>
    </row>
    <row r="931" ht="15.75" customHeight="1">
      <c r="J931" s="3"/>
    </row>
    <row r="932" ht="15.75" customHeight="1">
      <c r="J932" s="3"/>
    </row>
    <row r="933" ht="15.75" customHeight="1">
      <c r="J933" s="3"/>
    </row>
    <row r="934" ht="15.75" customHeight="1">
      <c r="J934" s="3"/>
    </row>
    <row r="935" ht="15.75" customHeight="1">
      <c r="J935" s="3"/>
    </row>
    <row r="936" ht="15.75" customHeight="1">
      <c r="J936" s="3"/>
    </row>
    <row r="937" ht="15.75" customHeight="1">
      <c r="J937" s="3"/>
    </row>
    <row r="938" ht="15.75" customHeight="1">
      <c r="J938" s="3"/>
    </row>
    <row r="939" ht="15.75" customHeight="1">
      <c r="J939" s="3"/>
    </row>
    <row r="940" ht="15.75" customHeight="1">
      <c r="J940" s="3"/>
    </row>
    <row r="941" ht="15.75" customHeight="1">
      <c r="J941" s="3"/>
    </row>
    <row r="942" ht="15.75" customHeight="1">
      <c r="J942" s="3"/>
    </row>
    <row r="943" ht="15.75" customHeight="1">
      <c r="J943" s="3"/>
    </row>
    <row r="944" ht="15.75" customHeight="1">
      <c r="J944" s="3"/>
    </row>
    <row r="945" ht="15.75" customHeight="1">
      <c r="J945" s="3"/>
    </row>
    <row r="946" ht="15.75" customHeight="1">
      <c r="J946" s="3"/>
    </row>
    <row r="947" ht="15.75" customHeight="1">
      <c r="J947" s="3"/>
    </row>
    <row r="948" ht="15.75" customHeight="1">
      <c r="J948" s="3"/>
    </row>
    <row r="949" ht="15.75" customHeight="1">
      <c r="J949" s="3"/>
    </row>
    <row r="950" ht="15.75" customHeight="1">
      <c r="J950" s="3"/>
    </row>
    <row r="951" ht="15.75" customHeight="1">
      <c r="J951" s="3"/>
    </row>
    <row r="952" ht="15.75" customHeight="1">
      <c r="J952" s="3"/>
    </row>
    <row r="953" ht="15.75" customHeight="1">
      <c r="J953" s="3"/>
    </row>
    <row r="954" ht="15.75" customHeight="1">
      <c r="J954" s="3"/>
    </row>
    <row r="955" ht="15.75" customHeight="1">
      <c r="J955" s="3"/>
    </row>
    <row r="956" ht="15.75" customHeight="1">
      <c r="J956" s="3"/>
    </row>
    <row r="957" ht="15.75" customHeight="1">
      <c r="J957" s="3"/>
    </row>
    <row r="958" ht="15.75" customHeight="1">
      <c r="J958" s="3"/>
    </row>
    <row r="959" ht="15.75" customHeight="1">
      <c r="J959" s="3"/>
    </row>
    <row r="960" ht="15.75" customHeight="1">
      <c r="J960" s="3"/>
    </row>
    <row r="961" ht="15.75" customHeight="1">
      <c r="J961" s="3"/>
    </row>
    <row r="962" ht="15.75" customHeight="1">
      <c r="J962" s="3"/>
    </row>
    <row r="963" ht="15.75" customHeight="1">
      <c r="J963" s="3"/>
    </row>
    <row r="964" ht="15.75" customHeight="1">
      <c r="J964" s="3"/>
    </row>
    <row r="965" ht="15.75" customHeight="1">
      <c r="J965" s="3"/>
    </row>
    <row r="966" ht="15.75" customHeight="1">
      <c r="J966" s="3"/>
    </row>
    <row r="967" ht="15.75" customHeight="1">
      <c r="J967" s="3"/>
    </row>
    <row r="968" ht="15.75" customHeight="1">
      <c r="J968" s="3"/>
    </row>
    <row r="969" ht="15.75" customHeight="1">
      <c r="J969" s="3"/>
    </row>
    <row r="970" ht="15.75" customHeight="1">
      <c r="J970" s="3"/>
    </row>
    <row r="971" ht="15.75" customHeight="1">
      <c r="J971" s="3"/>
    </row>
    <row r="972" ht="15.75" customHeight="1">
      <c r="J972" s="3"/>
    </row>
    <row r="973" ht="15.75" customHeight="1">
      <c r="J973" s="3"/>
    </row>
    <row r="974" ht="15.75" customHeight="1">
      <c r="J974" s="3"/>
    </row>
    <row r="975" ht="15.75" customHeight="1">
      <c r="J975" s="3"/>
    </row>
    <row r="976" ht="15.75" customHeight="1">
      <c r="J976" s="3"/>
    </row>
    <row r="977" ht="15.75" customHeight="1">
      <c r="J977" s="3"/>
    </row>
    <row r="978" ht="15.75" customHeight="1">
      <c r="J978" s="3"/>
    </row>
    <row r="979" ht="15.75" customHeight="1">
      <c r="J979" s="3"/>
    </row>
    <row r="980" ht="15.75" customHeight="1">
      <c r="J980" s="3"/>
    </row>
    <row r="981" ht="15.75" customHeight="1">
      <c r="J981" s="3"/>
    </row>
    <row r="982" ht="15.75" customHeight="1">
      <c r="J982" s="3"/>
    </row>
    <row r="983" ht="15.75" customHeight="1">
      <c r="J983" s="3"/>
    </row>
    <row r="984" ht="15.75" customHeight="1">
      <c r="J984" s="3"/>
    </row>
    <row r="985" ht="15.75" customHeight="1">
      <c r="J985" s="3"/>
    </row>
    <row r="986" ht="15.75" customHeight="1">
      <c r="J986" s="3"/>
    </row>
    <row r="987" ht="15.75" customHeight="1">
      <c r="J987" s="3"/>
    </row>
    <row r="988" ht="15.75" customHeight="1">
      <c r="J988" s="3"/>
    </row>
    <row r="989" ht="15.75" customHeight="1">
      <c r="J989" s="3"/>
    </row>
    <row r="990" ht="15.75" customHeight="1">
      <c r="J990" s="3"/>
    </row>
    <row r="991" ht="15.75" customHeight="1">
      <c r="J991" s="3"/>
    </row>
    <row r="992" ht="15.75" customHeight="1">
      <c r="J992" s="3"/>
    </row>
    <row r="993" ht="15.75" customHeight="1">
      <c r="J993" s="3"/>
    </row>
    <row r="994" ht="15.75" customHeight="1">
      <c r="J994" s="3"/>
    </row>
    <row r="995" ht="15.75" customHeight="1">
      <c r="J995" s="3"/>
    </row>
    <row r="996" ht="15.75" customHeight="1">
      <c r="J996" s="3"/>
    </row>
    <row r="997" ht="15.75" customHeight="1">
      <c r="J997" s="3"/>
    </row>
    <row r="998" ht="15.75" customHeight="1">
      <c r="J998" s="3"/>
    </row>
    <row r="999" ht="15.75" customHeight="1">
      <c r="J999" s="3"/>
    </row>
    <row r="1000" ht="15.75" customHeight="1">
      <c r="J1000" s="3"/>
    </row>
  </sheetData>
  <printOptions/>
  <pageMargins bottom="0.75" footer="0.0" header="0.0" left="0.7" right="0.7" top="0.75"/>
  <pageSetup orientation="landscape"/>
  <drawing r:id="rId1"/>
</worksheet>
</file>